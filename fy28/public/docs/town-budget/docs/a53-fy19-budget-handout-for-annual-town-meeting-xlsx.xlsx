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7" yWindow="287" windowWidth="18427" windowHeight="9000" activeTab="1"/>
  </bookViews>
  <sheets>
    <sheet name="FY19 Rev Exp 4.25.18 Bond" sheetId="1" r:id="rId1"/>
    <sheet name="FY19 Omnibus Budget" sheetId="2" r:id="rId2"/>
  </sheets>
  <externalReferences>
    <externalReference r:id="rId3"/>
    <externalReference r:id="rId4"/>
    <externalReference r:id="rId5"/>
  </externalReferences>
  <definedNames>
    <definedName name="CSData" localSheetId="1">#REF!</definedName>
    <definedName name="CSData" localSheetId="0">#REF!</definedName>
    <definedName name="CSData">#REF!</definedName>
    <definedName name="_xlnm.Print_Area" localSheetId="1">'FY19 Omnibus Budget'!$B$5:$CF$167</definedName>
    <definedName name="_xlnm.Print_Area" localSheetId="0">'FY19 Rev Exp 4.25.18 Bond'!$A$1:$BB$76</definedName>
    <definedName name="_xlnm.Print_Titles" localSheetId="1">'FY19 Omnibus Budget'!$1:$5</definedName>
    <definedName name="Select" localSheetId="1">#REF!</definedName>
    <definedName name="Select" localSheetId="0">#REF!</definedName>
    <definedName name="Select">#REF!</definedName>
  </definedNames>
  <calcPr calcId="145621"/>
</workbook>
</file>

<file path=xl/calcChain.xml><?xml version="1.0" encoding="utf-8"?>
<calcChain xmlns="http://schemas.openxmlformats.org/spreadsheetml/2006/main">
  <c r="AC166" i="2" l="1"/>
  <c r="CF164" i="2"/>
  <c r="CB164" i="2"/>
  <c r="CA164" i="2"/>
  <c r="BW164" i="2"/>
  <c r="BV164" i="2"/>
  <c r="BT164" i="2"/>
  <c r="BS164" i="2"/>
  <c r="BO164" i="2"/>
  <c r="BN164" i="2"/>
  <c r="BP164" i="2" s="1"/>
  <c r="BQ164" i="2" s="1"/>
  <c r="BL164" i="2"/>
  <c r="BK164" i="2"/>
  <c r="BJ164" i="2"/>
  <c r="BI164" i="2"/>
  <c r="BH164" i="2"/>
  <c r="BG164" i="2"/>
  <c r="BF164" i="2"/>
  <c r="BC164" i="2"/>
  <c r="BD164" i="2" s="1"/>
  <c r="BE164" i="2" s="1"/>
  <c r="AY164" i="2"/>
  <c r="AU164" i="2"/>
  <c r="AR164" i="2"/>
  <c r="AQ164" i="2"/>
  <c r="AP164" i="2"/>
  <c r="AO164" i="2"/>
  <c r="AJ164" i="2"/>
  <c r="AI164" i="2"/>
  <c r="AE164" i="2"/>
  <c r="AD164" i="2"/>
  <c r="AA164" i="2"/>
  <c r="Z164" i="2"/>
  <c r="Y164" i="2"/>
  <c r="X164" i="2"/>
  <c r="W164" i="2"/>
  <c r="T164" i="2"/>
  <c r="S164" i="2"/>
  <c r="R164" i="2"/>
  <c r="Q164" i="2"/>
  <c r="N164" i="2"/>
  <c r="O164" i="2" s="1"/>
  <c r="M164" i="2"/>
  <c r="L164" i="2"/>
  <c r="K164" i="2"/>
  <c r="J164" i="2"/>
  <c r="I164" i="2"/>
  <c r="H164" i="2"/>
  <c r="G164" i="2"/>
  <c r="F164" i="2"/>
  <c r="E164" i="2"/>
  <c r="D164" i="2"/>
  <c r="CD162" i="2"/>
  <c r="CD164" i="2" s="1"/>
  <c r="CC162" i="2"/>
  <c r="BZ162" i="2"/>
  <c r="BZ164" i="2" s="1"/>
  <c r="BX162" i="2"/>
  <c r="BX164" i="2" s="1"/>
  <c r="BW162" i="2"/>
  <c r="BY162" i="2" s="1"/>
  <c r="BY164" i="2" s="1"/>
  <c r="BU162" i="2"/>
  <c r="BU164" i="2" s="1"/>
  <c r="BS162" i="2"/>
  <c r="BR162" i="2"/>
  <c r="BQ162" i="2"/>
  <c r="BP162" i="2"/>
  <c r="BM162" i="2"/>
  <c r="BM164" i="2" s="1"/>
  <c r="BE162" i="2"/>
  <c r="BD162" i="2"/>
  <c r="AZ162" i="2"/>
  <c r="BA162" i="2" s="1"/>
  <c r="AX162" i="2"/>
  <c r="AW162" i="2"/>
  <c r="AV162" i="2"/>
  <c r="BB162" i="2" s="1"/>
  <c r="AT162" i="2"/>
  <c r="AS162" i="2"/>
  <c r="AQ162" i="2"/>
  <c r="AP162" i="2"/>
  <c r="AN162" i="2"/>
  <c r="AM162" i="2"/>
  <c r="AL162" i="2"/>
  <c r="AK162" i="2"/>
  <c r="AH162" i="2"/>
  <c r="AH164" i="2" s="1"/>
  <c r="AG162" i="2"/>
  <c r="AG164" i="2" s="1"/>
  <c r="AF162" i="2"/>
  <c r="AF164" i="2" s="1"/>
  <c r="AE162" i="2"/>
  <c r="AD162" i="2"/>
  <c r="AC162" i="2"/>
  <c r="AC164" i="2" s="1"/>
  <c r="AB162" i="2"/>
  <c r="AB164" i="2" s="1"/>
  <c r="U162" i="2"/>
  <c r="O162" i="2"/>
  <c r="N162" i="2"/>
  <c r="CF159" i="2"/>
  <c r="CB159" i="2"/>
  <c r="CA159" i="2"/>
  <c r="BW159" i="2"/>
  <c r="BV159" i="2"/>
  <c r="BT159" i="2"/>
  <c r="BS159" i="2"/>
  <c r="BO159" i="2"/>
  <c r="BN159" i="2"/>
  <c r="BP159" i="2" s="1"/>
  <c r="BQ159" i="2" s="1"/>
  <c r="BM159" i="2"/>
  <c r="BL159" i="2"/>
  <c r="BK159" i="2"/>
  <c r="BJ159" i="2"/>
  <c r="BI159" i="2"/>
  <c r="BH159" i="2"/>
  <c r="BG159" i="2"/>
  <c r="BF159" i="2"/>
  <c r="BC159" i="2"/>
  <c r="BD159" i="2" s="1"/>
  <c r="BE159" i="2" s="1"/>
  <c r="AY159" i="2"/>
  <c r="AU159" i="2"/>
  <c r="AR159" i="2"/>
  <c r="AJ159" i="2"/>
  <c r="AI159" i="2"/>
  <c r="AK159" i="2" s="1"/>
  <c r="AL159" i="2" s="1"/>
  <c r="AA159" i="2"/>
  <c r="AM159" i="2" s="1"/>
  <c r="AN159" i="2" s="1"/>
  <c r="Z159" i="2"/>
  <c r="X159" i="2"/>
  <c r="W159" i="2"/>
  <c r="T159" i="2"/>
  <c r="S159" i="2"/>
  <c r="R159" i="2"/>
  <c r="Q159" i="2"/>
  <c r="N159" i="2"/>
  <c r="O159" i="2" s="1"/>
  <c r="M159" i="2"/>
  <c r="L159" i="2"/>
  <c r="K159" i="2"/>
  <c r="J159" i="2"/>
  <c r="I159" i="2"/>
  <c r="H159" i="2"/>
  <c r="G159" i="2"/>
  <c r="F159" i="2"/>
  <c r="E159" i="2"/>
  <c r="D159" i="2"/>
  <c r="CC157" i="2"/>
  <c r="CE157" i="2" s="1"/>
  <c r="CB157" i="2"/>
  <c r="CA157" i="2"/>
  <c r="BY157" i="2"/>
  <c r="BR157" i="2"/>
  <c r="BP157" i="2"/>
  <c r="BE157" i="2"/>
  <c r="BD157" i="2"/>
  <c r="BA157" i="2"/>
  <c r="AZ157" i="2"/>
  <c r="AW157" i="2"/>
  <c r="AX157" i="2" s="1"/>
  <c r="AV157" i="2"/>
  <c r="BB157" i="2" s="1"/>
  <c r="AT157" i="2"/>
  <c r="AS157" i="2"/>
  <c r="AQ157" i="2"/>
  <c r="AP157" i="2"/>
  <c r="AN157" i="2"/>
  <c r="AM157" i="2"/>
  <c r="AL157" i="2"/>
  <c r="AK157" i="2"/>
  <c r="AH157" i="2"/>
  <c r="AG157" i="2"/>
  <c r="AF157" i="2"/>
  <c r="AE157" i="2"/>
  <c r="AC157" i="2"/>
  <c r="Y157" i="2"/>
  <c r="U157" i="2"/>
  <c r="V157" i="2" s="1"/>
  <c r="V159" i="2" s="1"/>
  <c r="CE156" i="2"/>
  <c r="BR156" i="2"/>
  <c r="BP156" i="2"/>
  <c r="BQ156" i="2" s="1"/>
  <c r="BF156" i="2"/>
  <c r="BD156" i="2"/>
  <c r="AW156" i="2"/>
  <c r="AV156" i="2"/>
  <c r="BB156" i="2" s="1"/>
  <c r="AS156" i="2"/>
  <c r="AO156" i="2"/>
  <c r="AM156" i="2"/>
  <c r="AK156" i="2"/>
  <c r="AG156" i="2"/>
  <c r="AH156" i="2" s="1"/>
  <c r="AH159" i="2" s="1"/>
  <c r="AF156" i="2"/>
  <c r="AE156" i="2"/>
  <c r="AD156" i="2"/>
  <c r="AC156" i="2"/>
  <c r="AB156" i="2"/>
  <c r="U156" i="2"/>
  <c r="V156" i="2" s="1"/>
  <c r="CC155" i="2"/>
  <c r="BU155" i="2"/>
  <c r="BR155" i="2"/>
  <c r="BQ155" i="2"/>
  <c r="BP155" i="2"/>
  <c r="BD155" i="2"/>
  <c r="BE155" i="2" s="1"/>
  <c r="BB155" i="2"/>
  <c r="BA155" i="2"/>
  <c r="AZ155" i="2"/>
  <c r="AX155" i="2"/>
  <c r="AW155" i="2"/>
  <c r="AV155" i="2"/>
  <c r="AS155" i="2"/>
  <c r="AT155" i="2" s="1"/>
  <c r="AQ155" i="2"/>
  <c r="AP155" i="2"/>
  <c r="AM155" i="2"/>
  <c r="AN155" i="2" s="1"/>
  <c r="AL155" i="2"/>
  <c r="AK155" i="2"/>
  <c r="AG155" i="2"/>
  <c r="AH155" i="2" s="1"/>
  <c r="AF155" i="2"/>
  <c r="AE155" i="2"/>
  <c r="AC155" i="2"/>
  <c r="AB155" i="2"/>
  <c r="AD155" i="2" s="1"/>
  <c r="V155" i="2"/>
  <c r="U155" i="2"/>
  <c r="O155" i="2"/>
  <c r="N155" i="2"/>
  <c r="CD154" i="2"/>
  <c r="CC154" i="2"/>
  <c r="CE154" i="2" s="1"/>
  <c r="BY154" i="2"/>
  <c r="CC153" i="2"/>
  <c r="CE153" i="2" s="1"/>
  <c r="BY153" i="2"/>
  <c r="BR153" i="2"/>
  <c r="BP153" i="2"/>
  <c r="CD152" i="2"/>
  <c r="CC152" i="2"/>
  <c r="CA152" i="2"/>
  <c r="BZ152" i="2"/>
  <c r="BZ159" i="2" s="1"/>
  <c r="BY152" i="2"/>
  <c r="BX152" i="2"/>
  <c r="BX159" i="2" s="1"/>
  <c r="BU152" i="2"/>
  <c r="BU159" i="2" s="1"/>
  <c r="BS152" i="2"/>
  <c r="BR152" i="2"/>
  <c r="BQ152" i="2"/>
  <c r="BP152" i="2"/>
  <c r="BD152" i="2"/>
  <c r="BE152" i="2" s="1"/>
  <c r="BB152" i="2"/>
  <c r="BA152" i="2"/>
  <c r="AZ152" i="2"/>
  <c r="AX152" i="2"/>
  <c r="AW152" i="2"/>
  <c r="AT152" i="2"/>
  <c r="AS152" i="2"/>
  <c r="AQ152" i="2"/>
  <c r="AP152" i="2"/>
  <c r="AN152" i="2"/>
  <c r="AM152" i="2"/>
  <c r="AL152" i="2"/>
  <c r="AK152" i="2"/>
  <c r="AH152" i="2"/>
  <c r="AG152" i="2"/>
  <c r="AG159" i="2" s="1"/>
  <c r="AF152" i="2"/>
  <c r="AE152" i="2"/>
  <c r="AE159" i="2" s="1"/>
  <c r="AC152" i="2"/>
  <c r="AB152" i="2"/>
  <c r="V152" i="2"/>
  <c r="U152" i="2"/>
  <c r="U159" i="2" s="1"/>
  <c r="N152" i="2"/>
  <c r="O152" i="2" s="1"/>
  <c r="AJ149" i="2"/>
  <c r="T149" i="2"/>
  <c r="CF147" i="2"/>
  <c r="CF149" i="2" s="1"/>
  <c r="CD147" i="2"/>
  <c r="CB147" i="2"/>
  <c r="CB149" i="2" s="1"/>
  <c r="CA147" i="2"/>
  <c r="CA149" i="2" s="1"/>
  <c r="BZ147" i="2"/>
  <c r="BX147" i="2"/>
  <c r="BX149" i="2" s="1"/>
  <c r="BW147" i="2"/>
  <c r="BV147" i="2"/>
  <c r="BU147" i="2"/>
  <c r="BU149" i="2" s="1"/>
  <c r="BT147" i="2"/>
  <c r="BT149" i="2" s="1"/>
  <c r="BS147" i="2"/>
  <c r="BP147" i="2"/>
  <c r="BQ147" i="2" s="1"/>
  <c r="BO147" i="2"/>
  <c r="BN147" i="2"/>
  <c r="BM147" i="2"/>
  <c r="BL147" i="2"/>
  <c r="BL149" i="2" s="1"/>
  <c r="BK147" i="2"/>
  <c r="BJ147" i="2"/>
  <c r="BI147" i="2"/>
  <c r="BH147" i="2"/>
  <c r="BG147" i="2"/>
  <c r="BF147" i="2"/>
  <c r="BC147" i="2"/>
  <c r="AY147" i="2"/>
  <c r="AU147" i="2"/>
  <c r="AS147" i="2"/>
  <c r="AT147" i="2" s="1"/>
  <c r="AR147" i="2"/>
  <c r="AO147" i="2"/>
  <c r="AL147" i="2"/>
  <c r="AK147" i="2"/>
  <c r="AJ147" i="2"/>
  <c r="AM147" i="2" s="1"/>
  <c r="AN147" i="2" s="1"/>
  <c r="AI147" i="2"/>
  <c r="AA147" i="2"/>
  <c r="Z147" i="2"/>
  <c r="X147" i="2"/>
  <c r="X149" i="2" s="1"/>
  <c r="W147" i="2"/>
  <c r="T147" i="2"/>
  <c r="S147" i="2"/>
  <c r="R147" i="2"/>
  <c r="Q147" i="2"/>
  <c r="M147" i="2"/>
  <c r="L147" i="2"/>
  <c r="L149" i="2" s="1"/>
  <c r="J147" i="2"/>
  <c r="I147" i="2"/>
  <c r="H147" i="2"/>
  <c r="H149" i="2" s="1"/>
  <c r="G147" i="2"/>
  <c r="G149" i="2" s="1"/>
  <c r="I149" i="2" s="1"/>
  <c r="F147" i="2"/>
  <c r="E147" i="2"/>
  <c r="D147" i="2"/>
  <c r="D149" i="2" s="1"/>
  <c r="AB146" i="2"/>
  <c r="CC145" i="2"/>
  <c r="CE145" i="2" s="1"/>
  <c r="BY145" i="2"/>
  <c r="BR145" i="2"/>
  <c r="BP145" i="2"/>
  <c r="BQ145" i="2" s="1"/>
  <c r="BE145" i="2"/>
  <c r="BD145" i="2"/>
  <c r="BA145" i="2"/>
  <c r="AZ145" i="2"/>
  <c r="AV145" i="2"/>
  <c r="AT145" i="2"/>
  <c r="AS145" i="2"/>
  <c r="AP145" i="2"/>
  <c r="AQ145" i="2" s="1"/>
  <c r="AN145" i="2"/>
  <c r="AM145" i="2"/>
  <c r="AK145" i="2"/>
  <c r="AL145" i="2" s="1"/>
  <c r="AH145" i="2"/>
  <c r="AG145" i="2"/>
  <c r="AE145" i="2"/>
  <c r="AF145" i="2" s="1"/>
  <c r="AD145" i="2"/>
  <c r="AC145" i="2"/>
  <c r="AB145" i="2"/>
  <c r="U145" i="2"/>
  <c r="V145" i="2" s="1"/>
  <c r="O145" i="2"/>
  <c r="N145" i="2"/>
  <c r="K145" i="2"/>
  <c r="K147" i="2" s="1"/>
  <c r="A145" i="2"/>
  <c r="CC144" i="2"/>
  <c r="CE144" i="2" s="1"/>
  <c r="BY144" i="2"/>
  <c r="BR144" i="2"/>
  <c r="BP144" i="2"/>
  <c r="BQ144" i="2" s="1"/>
  <c r="BE144" i="2"/>
  <c r="BD144" i="2"/>
  <c r="AZ144" i="2"/>
  <c r="BA144" i="2" s="1"/>
  <c r="AV144" i="2"/>
  <c r="AS144" i="2"/>
  <c r="AT144" i="2" s="1"/>
  <c r="AP144" i="2"/>
  <c r="AQ144" i="2" s="1"/>
  <c r="AN144" i="2"/>
  <c r="AM144" i="2"/>
  <c r="AK144" i="2"/>
  <c r="AL144" i="2" s="1"/>
  <c r="AH144" i="2"/>
  <c r="AG144" i="2"/>
  <c r="AE144" i="2"/>
  <c r="AF144" i="2" s="1"/>
  <c r="AD144" i="2"/>
  <c r="AC144" i="2"/>
  <c r="AC147" i="2" s="1"/>
  <c r="AC149" i="2" s="1"/>
  <c r="Y144" i="2"/>
  <c r="AB144" i="2" s="1"/>
  <c r="U144" i="2"/>
  <c r="V144" i="2" s="1"/>
  <c r="N144" i="2"/>
  <c r="O144" i="2" s="1"/>
  <c r="CE143" i="2"/>
  <c r="CC143" i="2"/>
  <c r="BY143" i="2"/>
  <c r="BY147" i="2" s="1"/>
  <c r="BY149" i="2" s="1"/>
  <c r="BR143" i="2"/>
  <c r="BQ143" i="2"/>
  <c r="BP143" i="2"/>
  <c r="BE143" i="2"/>
  <c r="BD143" i="2"/>
  <c r="BB143" i="2"/>
  <c r="AZ143" i="2"/>
  <c r="BA143" i="2" s="1"/>
  <c r="AX143" i="2"/>
  <c r="AW143" i="2"/>
  <c r="AV143" i="2"/>
  <c r="AT143" i="2"/>
  <c r="AS143" i="2"/>
  <c r="AQ143" i="2"/>
  <c r="AP143" i="2"/>
  <c r="AN143" i="2"/>
  <c r="AM143" i="2"/>
  <c r="AL143" i="2"/>
  <c r="AK143" i="2"/>
  <c r="AH143" i="2"/>
  <c r="AG143" i="2"/>
  <c r="AG147" i="2" s="1"/>
  <c r="AF143" i="2"/>
  <c r="AE143" i="2"/>
  <c r="AD143" i="2"/>
  <c r="AC143" i="2"/>
  <c r="AB143" i="2"/>
  <c r="Y143" i="2"/>
  <c r="V143" i="2"/>
  <c r="U143" i="2"/>
  <c r="O143" i="2"/>
  <c r="N143" i="2"/>
  <c r="CE142" i="2"/>
  <c r="CE147" i="2" s="1"/>
  <c r="CE149" i="2" s="1"/>
  <c r="CC142" i="2"/>
  <c r="CC147" i="2" s="1"/>
  <c r="BR142" i="2"/>
  <c r="BQ142" i="2"/>
  <c r="BP142" i="2"/>
  <c r="BE142" i="2"/>
  <c r="BD142" i="2"/>
  <c r="BB142" i="2"/>
  <c r="BA142" i="2"/>
  <c r="AZ142" i="2"/>
  <c r="AV142" i="2"/>
  <c r="AW142" i="2" s="1"/>
  <c r="AX142" i="2" s="1"/>
  <c r="AT142" i="2"/>
  <c r="AS142" i="2"/>
  <c r="AP142" i="2"/>
  <c r="AQ142" i="2" s="1"/>
  <c r="AN142" i="2"/>
  <c r="AM142" i="2"/>
  <c r="AK142" i="2"/>
  <c r="AL142" i="2" s="1"/>
  <c r="AH142" i="2"/>
  <c r="AH147" i="2" s="1"/>
  <c r="AG142" i="2"/>
  <c r="AE142" i="2"/>
  <c r="AC142" i="2"/>
  <c r="Y142" i="2"/>
  <c r="V142" i="2"/>
  <c r="V147" i="2" s="1"/>
  <c r="U142" i="2"/>
  <c r="N142" i="2"/>
  <c r="O142" i="2" s="1"/>
  <c r="CF140" i="2"/>
  <c r="CD140" i="2"/>
  <c r="CD149" i="2" s="1"/>
  <c r="CC140" i="2"/>
  <c r="CB140" i="2"/>
  <c r="CA140" i="2"/>
  <c r="BZ140" i="2"/>
  <c r="BZ149" i="2" s="1"/>
  <c r="BY140" i="2"/>
  <c r="BX140" i="2"/>
  <c r="BW140" i="2"/>
  <c r="BV140" i="2"/>
  <c r="BV149" i="2" s="1"/>
  <c r="BU140" i="2"/>
  <c r="BT140" i="2"/>
  <c r="BQ140" i="2"/>
  <c r="BP140" i="2"/>
  <c r="BO140" i="2"/>
  <c r="BN140" i="2"/>
  <c r="BM140" i="2"/>
  <c r="BM149" i="2" s="1"/>
  <c r="BL140" i="2"/>
  <c r="BK140" i="2"/>
  <c r="BJ140" i="2"/>
  <c r="BI140" i="2"/>
  <c r="BI149" i="2" s="1"/>
  <c r="BH140" i="2"/>
  <c r="BH149" i="2" s="1"/>
  <c r="BG140" i="2"/>
  <c r="BF140" i="2"/>
  <c r="BE140" i="2"/>
  <c r="BD140" i="2"/>
  <c r="BC140" i="2"/>
  <c r="AZ140" i="2"/>
  <c r="BA140" i="2" s="1"/>
  <c r="AY140" i="2"/>
  <c r="AV140" i="2"/>
  <c r="AU140" i="2"/>
  <c r="AS140" i="2"/>
  <c r="AT140" i="2" s="1"/>
  <c r="AR140" i="2"/>
  <c r="AR149" i="2" s="1"/>
  <c r="AP140" i="2"/>
  <c r="AQ140" i="2" s="1"/>
  <c r="AO140" i="2"/>
  <c r="AN140" i="2"/>
  <c r="AL140" i="2"/>
  <c r="AK140" i="2"/>
  <c r="AJ140" i="2"/>
  <c r="AM140" i="2" s="1"/>
  <c r="AI140" i="2"/>
  <c r="AD140" i="2"/>
  <c r="AC140" i="2"/>
  <c r="AB140" i="2"/>
  <c r="AA140" i="2"/>
  <c r="Z140" i="2"/>
  <c r="Y140" i="2"/>
  <c r="X140" i="2"/>
  <c r="W140" i="2"/>
  <c r="U140" i="2"/>
  <c r="T140" i="2"/>
  <c r="S140" i="2"/>
  <c r="R140" i="2"/>
  <c r="Q140" i="2"/>
  <c r="M140" i="2"/>
  <c r="L140" i="2"/>
  <c r="K140" i="2"/>
  <c r="J140" i="2"/>
  <c r="H140" i="2"/>
  <c r="G140" i="2"/>
  <c r="I140" i="2" s="1"/>
  <c r="F140" i="2"/>
  <c r="E140" i="2"/>
  <c r="D140" i="2"/>
  <c r="CE138" i="2"/>
  <c r="CE140" i="2" s="1"/>
  <c r="CC138" i="2"/>
  <c r="BY138" i="2"/>
  <c r="BS138" i="2"/>
  <c r="BS140" i="2" s="1"/>
  <c r="BR138" i="2"/>
  <c r="BP138" i="2"/>
  <c r="BQ138" i="2" s="1"/>
  <c r="BD138" i="2"/>
  <c r="BE138" i="2" s="1"/>
  <c r="BA138" i="2"/>
  <c r="AZ138" i="2"/>
  <c r="AV138" i="2"/>
  <c r="AT138" i="2"/>
  <c r="AS138" i="2"/>
  <c r="AP138" i="2"/>
  <c r="AQ138" i="2" s="1"/>
  <c r="AN138" i="2"/>
  <c r="AM138" i="2"/>
  <c r="AK138" i="2"/>
  <c r="AL138" i="2" s="1"/>
  <c r="AG138" i="2"/>
  <c r="AE138" i="2"/>
  <c r="AD138" i="2"/>
  <c r="AC138" i="2"/>
  <c r="AB138" i="2"/>
  <c r="V138" i="2"/>
  <c r="V140" i="2" s="1"/>
  <c r="U138" i="2"/>
  <c r="O138" i="2"/>
  <c r="N138" i="2"/>
  <c r="CF135" i="2"/>
  <c r="CD135" i="2"/>
  <c r="CB135" i="2"/>
  <c r="CA135" i="2"/>
  <c r="BY135" i="2"/>
  <c r="BX135" i="2"/>
  <c r="BW135" i="2"/>
  <c r="BV135" i="2"/>
  <c r="BT135" i="2"/>
  <c r="BP135" i="2"/>
  <c r="BO135" i="2"/>
  <c r="BN135" i="2"/>
  <c r="BM135" i="2"/>
  <c r="BL135" i="2"/>
  <c r="BK135" i="2"/>
  <c r="BJ135" i="2"/>
  <c r="BI135" i="2"/>
  <c r="BH135" i="2"/>
  <c r="BG135" i="2"/>
  <c r="BF135" i="2"/>
  <c r="AY135" i="2"/>
  <c r="CC133" i="2"/>
  <c r="CC135" i="2" s="1"/>
  <c r="BZ133" i="2"/>
  <c r="BZ135" i="2" s="1"/>
  <c r="BY133" i="2"/>
  <c r="BU133" i="2"/>
  <c r="BU135" i="2" s="1"/>
  <c r="BS133" i="2"/>
  <c r="BS135" i="2" s="1"/>
  <c r="BR133" i="2"/>
  <c r="BR135" i="2" s="1"/>
  <c r="BP133" i="2"/>
  <c r="BQ133" i="2" s="1"/>
  <c r="BQ135" i="2" s="1"/>
  <c r="BE133" i="2"/>
  <c r="BD133" i="2"/>
  <c r="AZ133" i="2"/>
  <c r="AW133" i="2"/>
  <c r="AV133" i="2"/>
  <c r="BB133" i="2" s="1"/>
  <c r="AS133" i="2"/>
  <c r="AT133" i="2" s="1"/>
  <c r="AQ133" i="2"/>
  <c r="AP133" i="2"/>
  <c r="AO133" i="2"/>
  <c r="AN133" i="2"/>
  <c r="AM133" i="2"/>
  <c r="AL133" i="2"/>
  <c r="AK133" i="2"/>
  <c r="AH133" i="2"/>
  <c r="AG133" i="2"/>
  <c r="AF133" i="2"/>
  <c r="AE133" i="2"/>
  <c r="AD133" i="2"/>
  <c r="AC133" i="2"/>
  <c r="AB133" i="2"/>
  <c r="Y133" i="2"/>
  <c r="V133" i="2"/>
  <c r="U133" i="2"/>
  <c r="O133" i="2"/>
  <c r="N133" i="2"/>
  <c r="CF130" i="2"/>
  <c r="CB130" i="2"/>
  <c r="CC130" i="2" s="1"/>
  <c r="CA130" i="2"/>
  <c r="BY130" i="2"/>
  <c r="BX130" i="2"/>
  <c r="BW130" i="2"/>
  <c r="BV130" i="2"/>
  <c r="BU130" i="2"/>
  <c r="BQ130" i="2"/>
  <c r="BO130" i="2"/>
  <c r="BN130" i="2"/>
  <c r="BM130" i="2"/>
  <c r="BL130" i="2"/>
  <c r="BK130" i="2"/>
  <c r="BJ130" i="2"/>
  <c r="BI130" i="2"/>
  <c r="BH130" i="2"/>
  <c r="BG130" i="2"/>
  <c r="AY130" i="2"/>
  <c r="CE128" i="2"/>
  <c r="CC128" i="2"/>
  <c r="BY128" i="2"/>
  <c r="BR128" i="2"/>
  <c r="BP128" i="2"/>
  <c r="BP130" i="2" s="1"/>
  <c r="BF128" i="2"/>
  <c r="BF130" i="2" s="1"/>
  <c r="BD128" i="2"/>
  <c r="BA128" i="2"/>
  <c r="AZ128" i="2"/>
  <c r="AW128" i="2"/>
  <c r="AX128" i="2" s="1"/>
  <c r="AV128" i="2"/>
  <c r="BB128" i="2" s="1"/>
  <c r="AS128" i="2"/>
  <c r="AP128" i="2"/>
  <c r="AM128" i="2"/>
  <c r="AK128" i="2"/>
  <c r="CD127" i="2"/>
  <c r="CC127" i="2"/>
  <c r="CE127" i="2" s="1"/>
  <c r="BZ127" i="2"/>
  <c r="BZ130" i="2" s="1"/>
  <c r="BY127" i="2"/>
  <c r="BU127" i="2"/>
  <c r="BR127" i="2"/>
  <c r="BQ127" i="2"/>
  <c r="BP127" i="2"/>
  <c r="BD127" i="2"/>
  <c r="BE127" i="2" s="1"/>
  <c r="BB127" i="2"/>
  <c r="BA127" i="2"/>
  <c r="AZ127" i="2"/>
  <c r="AW127" i="2"/>
  <c r="AX127" i="2" s="1"/>
  <c r="AV127" i="2"/>
  <c r="AS127" i="2"/>
  <c r="AT127" i="2" s="1"/>
  <c r="AQ127" i="2"/>
  <c r="AP127" i="2"/>
  <c r="AM127" i="2"/>
  <c r="AN127" i="2" s="1"/>
  <c r="AL127" i="2"/>
  <c r="AK127" i="2"/>
  <c r="AG127" i="2"/>
  <c r="AH127" i="2" s="1"/>
  <c r="AF127" i="2"/>
  <c r="AE127" i="2"/>
  <c r="AC127" i="2"/>
  <c r="AB127" i="2"/>
  <c r="AD127" i="2" s="1"/>
  <c r="V127" i="2"/>
  <c r="U127" i="2"/>
  <c r="N127" i="2"/>
  <c r="O127" i="2" s="1"/>
  <c r="K127" i="2"/>
  <c r="CE126" i="2"/>
  <c r="CD126" i="2"/>
  <c r="CD130" i="2" s="1"/>
  <c r="CC126" i="2"/>
  <c r="BY126" i="2"/>
  <c r="BT126" i="2"/>
  <c r="BT130" i="2" s="1"/>
  <c r="BS126" i="2"/>
  <c r="BS130" i="2" s="1"/>
  <c r="BR126" i="2"/>
  <c r="BR130" i="2" s="1"/>
  <c r="BP126" i="2"/>
  <c r="BQ126" i="2" s="1"/>
  <c r="BE126" i="2"/>
  <c r="BD126" i="2"/>
  <c r="BA126" i="2"/>
  <c r="AZ126" i="2"/>
  <c r="AV126" i="2"/>
  <c r="AT126" i="2"/>
  <c r="AS126" i="2"/>
  <c r="AP126" i="2"/>
  <c r="AQ126" i="2" s="1"/>
  <c r="AN126" i="2"/>
  <c r="AM126" i="2"/>
  <c r="AK126" i="2"/>
  <c r="AL126" i="2" s="1"/>
  <c r="AH126" i="2"/>
  <c r="AG126" i="2"/>
  <c r="AE126" i="2"/>
  <c r="AF126" i="2" s="1"/>
  <c r="AD126" i="2"/>
  <c r="AC126" i="2"/>
  <c r="AB126" i="2"/>
  <c r="U126" i="2"/>
  <c r="V126" i="2" s="1"/>
  <c r="O126" i="2"/>
  <c r="N126" i="2"/>
  <c r="CF123" i="2"/>
  <c r="CB123" i="2"/>
  <c r="BX123" i="2"/>
  <c r="BT123" i="2"/>
  <c r="BO123" i="2"/>
  <c r="BN123" i="2"/>
  <c r="BL123" i="2"/>
  <c r="BK123" i="2"/>
  <c r="BP123" i="2" s="1"/>
  <c r="BQ123" i="2" s="1"/>
  <c r="BJ123" i="2"/>
  <c r="BI123" i="2"/>
  <c r="BH123" i="2"/>
  <c r="BG123" i="2"/>
  <c r="BC123" i="2"/>
  <c r="AY123" i="2"/>
  <c r="AU123" i="2"/>
  <c r="AR123" i="2"/>
  <c r="AJ123" i="2"/>
  <c r="AI123" i="2"/>
  <c r="AK123" i="2" s="1"/>
  <c r="AL123" i="2" s="1"/>
  <c r="AA123" i="2"/>
  <c r="AM123" i="2" s="1"/>
  <c r="AN123" i="2" s="1"/>
  <c r="Z123" i="2"/>
  <c r="X123" i="2"/>
  <c r="W123" i="2"/>
  <c r="T123" i="2"/>
  <c r="S123" i="2"/>
  <c r="R123" i="2"/>
  <c r="Q123" i="2"/>
  <c r="O123" i="2"/>
  <c r="N123" i="2"/>
  <c r="M123" i="2"/>
  <c r="L123" i="2"/>
  <c r="J123" i="2"/>
  <c r="H123" i="2"/>
  <c r="G123" i="2"/>
  <c r="I123" i="2" s="1"/>
  <c r="F123" i="2"/>
  <c r="E123" i="2"/>
  <c r="D123" i="2"/>
  <c r="CC121" i="2"/>
  <c r="CE121" i="2" s="1"/>
  <c r="BY121" i="2"/>
  <c r="BW121" i="2"/>
  <c r="BR121" i="2"/>
  <c r="BQ121" i="2"/>
  <c r="BP121" i="2"/>
  <c r="BD121" i="2"/>
  <c r="BE121" i="2" s="1"/>
  <c r="BB121" i="2"/>
  <c r="BA121" i="2"/>
  <c r="AZ121" i="2"/>
  <c r="AX121" i="2"/>
  <c r="AW121" i="2"/>
  <c r="AV121" i="2"/>
  <c r="AS121" i="2"/>
  <c r="AT121" i="2" s="1"/>
  <c r="AQ121" i="2"/>
  <c r="AP121" i="2"/>
  <c r="AM121" i="2"/>
  <c r="AN121" i="2" s="1"/>
  <c r="AL121" i="2"/>
  <c r="AK121" i="2"/>
  <c r="AG121" i="2"/>
  <c r="AH121" i="2" s="1"/>
  <c r="AF121" i="2"/>
  <c r="AE121" i="2"/>
  <c r="AC121" i="2"/>
  <c r="AB121" i="2"/>
  <c r="AD121" i="2" s="1"/>
  <c r="Y121" i="2"/>
  <c r="U121" i="2"/>
  <c r="V121" i="2" s="1"/>
  <c r="O121" i="2"/>
  <c r="N121" i="2"/>
  <c r="K121" i="2"/>
  <c r="CE120" i="2"/>
  <c r="CD120" i="2"/>
  <c r="CC120" i="2"/>
  <c r="BY120" i="2"/>
  <c r="BR120" i="2"/>
  <c r="BQ120" i="2"/>
  <c r="BP120" i="2"/>
  <c r="BE120" i="2"/>
  <c r="BD120" i="2"/>
  <c r="BB120" i="2"/>
  <c r="AZ120" i="2"/>
  <c r="BA120" i="2" s="1"/>
  <c r="AX120" i="2"/>
  <c r="AW120" i="2"/>
  <c r="AV120" i="2"/>
  <c r="AT120" i="2"/>
  <c r="AS120" i="2"/>
  <c r="AQ120" i="2"/>
  <c r="AP120" i="2"/>
  <c r="AN120" i="2"/>
  <c r="AM120" i="2"/>
  <c r="AL120" i="2"/>
  <c r="AK120" i="2"/>
  <c r="AH120" i="2"/>
  <c r="AG120" i="2"/>
  <c r="AF120" i="2"/>
  <c r="AE120" i="2"/>
  <c r="AD120" i="2"/>
  <c r="AC120" i="2"/>
  <c r="AB120" i="2"/>
  <c r="U120" i="2"/>
  <c r="V120" i="2" s="1"/>
  <c r="O120" i="2"/>
  <c r="N120" i="2"/>
  <c r="K120" i="2"/>
  <c r="CE119" i="2"/>
  <c r="CC119" i="2"/>
  <c r="BY119" i="2"/>
  <c r="BR119" i="2"/>
  <c r="BQ119" i="2"/>
  <c r="BP119" i="2"/>
  <c r="BD119" i="2"/>
  <c r="BE119" i="2" s="1"/>
  <c r="BB119" i="2"/>
  <c r="BA119" i="2"/>
  <c r="AZ119" i="2"/>
  <c r="AX119" i="2"/>
  <c r="AW119" i="2"/>
  <c r="AV119" i="2"/>
  <c r="AS119" i="2"/>
  <c r="AT119" i="2" s="1"/>
  <c r="AQ119" i="2"/>
  <c r="AP119" i="2"/>
  <c r="AM119" i="2"/>
  <c r="AN119" i="2" s="1"/>
  <c r="AL119" i="2"/>
  <c r="AK119" i="2"/>
  <c r="AG119" i="2"/>
  <c r="AH119" i="2" s="1"/>
  <c r="AF119" i="2"/>
  <c r="AE119" i="2"/>
  <c r="AC119" i="2"/>
  <c r="AB119" i="2"/>
  <c r="AD119" i="2" s="1"/>
  <c r="V119" i="2"/>
  <c r="U119" i="2"/>
  <c r="O119" i="2"/>
  <c r="N119" i="2"/>
  <c r="CC118" i="2"/>
  <c r="CE118" i="2" s="1"/>
  <c r="BZ118" i="2"/>
  <c r="BY118" i="2"/>
  <c r="BU118" i="2"/>
  <c r="BR118" i="2"/>
  <c r="BQ118" i="2"/>
  <c r="BP118" i="2"/>
  <c r="BD118" i="2"/>
  <c r="BE118" i="2" s="1"/>
  <c r="BB118" i="2"/>
  <c r="BA118" i="2"/>
  <c r="AZ118" i="2"/>
  <c r="AW118" i="2"/>
  <c r="AX118" i="2" s="1"/>
  <c r="AV118" i="2"/>
  <c r="AS118" i="2"/>
  <c r="AT118" i="2" s="1"/>
  <c r="AQ118" i="2"/>
  <c r="AP118" i="2"/>
  <c r="AM118" i="2"/>
  <c r="AN118" i="2" s="1"/>
  <c r="AL118" i="2"/>
  <c r="AK118" i="2"/>
  <c r="AG118" i="2"/>
  <c r="AH118" i="2" s="1"/>
  <c r="AF118" i="2"/>
  <c r="AE118" i="2"/>
  <c r="AC118" i="2"/>
  <c r="AB118" i="2"/>
  <c r="AD118" i="2" s="1"/>
  <c r="V118" i="2"/>
  <c r="U118" i="2"/>
  <c r="N118" i="2"/>
  <c r="O118" i="2" s="1"/>
  <c r="CF117" i="2"/>
  <c r="CE117" i="2"/>
  <c r="CD117" i="2"/>
  <c r="CC117" i="2"/>
  <c r="CA117" i="2"/>
  <c r="BZ117" i="2"/>
  <c r="BY117" i="2"/>
  <c r="BX117" i="2"/>
  <c r="BW117" i="2"/>
  <c r="BU117" i="2"/>
  <c r="BU123" i="2" s="1"/>
  <c r="BS117" i="2"/>
  <c r="BR117" i="2"/>
  <c r="BP117" i="2"/>
  <c r="BQ117" i="2" s="1"/>
  <c r="BE117" i="2"/>
  <c r="BD117" i="2"/>
  <c r="BA117" i="2"/>
  <c r="AZ117" i="2"/>
  <c r="AV117" i="2"/>
  <c r="AT117" i="2"/>
  <c r="AS117" i="2"/>
  <c r="AP117" i="2"/>
  <c r="AQ117" i="2" s="1"/>
  <c r="AN117" i="2"/>
  <c r="AM117" i="2"/>
  <c r="AK117" i="2"/>
  <c r="AL117" i="2" s="1"/>
  <c r="AH117" i="2"/>
  <c r="AG117" i="2"/>
  <c r="AE117" i="2"/>
  <c r="AF117" i="2" s="1"/>
  <c r="AD117" i="2"/>
  <c r="AC117" i="2"/>
  <c r="AB117" i="2"/>
  <c r="U117" i="2"/>
  <c r="CF116" i="2"/>
  <c r="CD116" i="2"/>
  <c r="CC116" i="2"/>
  <c r="CE116" i="2" s="1"/>
  <c r="CA116" i="2"/>
  <c r="BZ116" i="2"/>
  <c r="BY116" i="2"/>
  <c r="BX116" i="2"/>
  <c r="BW116" i="2"/>
  <c r="BU116" i="2"/>
  <c r="BS116" i="2"/>
  <c r="BR116" i="2"/>
  <c r="BQ116" i="2"/>
  <c r="BP116" i="2"/>
  <c r="BE116" i="2"/>
  <c r="BD116" i="2"/>
  <c r="BB116" i="2"/>
  <c r="AZ116" i="2"/>
  <c r="BA116" i="2" s="1"/>
  <c r="AX116" i="2"/>
  <c r="AW116" i="2"/>
  <c r="AV116" i="2"/>
  <c r="AT116" i="2"/>
  <c r="AS116" i="2"/>
  <c r="AQ116" i="2"/>
  <c r="AP116" i="2"/>
  <c r="AN116" i="2"/>
  <c r="AM116" i="2"/>
  <c r="AL116" i="2"/>
  <c r="AK116" i="2"/>
  <c r="AH116" i="2"/>
  <c r="AG116" i="2"/>
  <c r="AF116" i="2"/>
  <c r="AE116" i="2"/>
  <c r="AD116" i="2"/>
  <c r="AC116" i="2"/>
  <c r="AB116" i="2"/>
  <c r="U116" i="2"/>
  <c r="CF115" i="2"/>
  <c r="CD115" i="2"/>
  <c r="CC115" i="2"/>
  <c r="CE115" i="2" s="1"/>
  <c r="CA115" i="2"/>
  <c r="BZ115" i="2"/>
  <c r="BX115" i="2"/>
  <c r="BW115" i="2"/>
  <c r="BU115" i="2"/>
  <c r="BS115" i="2"/>
  <c r="BR115" i="2"/>
  <c r="BQ115" i="2"/>
  <c r="BP115" i="2"/>
  <c r="BD115" i="2"/>
  <c r="BE115" i="2" s="1"/>
  <c r="BB115" i="2"/>
  <c r="BA115" i="2"/>
  <c r="AZ115" i="2"/>
  <c r="AX115" i="2"/>
  <c r="AW115" i="2"/>
  <c r="AV115" i="2"/>
  <c r="AS115" i="2"/>
  <c r="AT115" i="2" s="1"/>
  <c r="AQ115" i="2"/>
  <c r="AP115" i="2"/>
  <c r="AM115" i="2"/>
  <c r="AN115" i="2" s="1"/>
  <c r="AL115" i="2"/>
  <c r="AK115" i="2"/>
  <c r="AG115" i="2"/>
  <c r="AH115" i="2" s="1"/>
  <c r="AF115" i="2"/>
  <c r="AE115" i="2"/>
  <c r="AC115" i="2"/>
  <c r="AB115" i="2"/>
  <c r="AD115" i="2" s="1"/>
  <c r="V115" i="2"/>
  <c r="U115" i="2"/>
  <c r="O115" i="2"/>
  <c r="N115" i="2"/>
  <c r="CC114" i="2"/>
  <c r="CE114" i="2" s="1"/>
  <c r="BY114" i="2"/>
  <c r="BR114" i="2"/>
  <c r="BP114" i="2"/>
  <c r="BQ114" i="2" s="1"/>
  <c r="BM114" i="2"/>
  <c r="BE114" i="2"/>
  <c r="BD114" i="2"/>
  <c r="BA114" i="2"/>
  <c r="AZ114" i="2"/>
  <c r="AW114" i="2"/>
  <c r="AX114" i="2" s="1"/>
  <c r="AV114" i="2"/>
  <c r="BB114" i="2" s="1"/>
  <c r="AT114" i="2"/>
  <c r="AS114" i="2"/>
  <c r="AQ114" i="2"/>
  <c r="AP114" i="2"/>
  <c r="AN114" i="2"/>
  <c r="AM114" i="2"/>
  <c r="AL114" i="2"/>
  <c r="AK114" i="2"/>
  <c r="AH114" i="2"/>
  <c r="AG114" i="2"/>
  <c r="AF114" i="2"/>
  <c r="AE114" i="2"/>
  <c r="AC114" i="2"/>
  <c r="AB114" i="2"/>
  <c r="AD114" i="2" s="1"/>
  <c r="V114" i="2"/>
  <c r="U114" i="2"/>
  <c r="N114" i="2"/>
  <c r="O114" i="2" s="1"/>
  <c r="K114" i="2"/>
  <c r="CC113" i="2"/>
  <c r="CE113" i="2" s="1"/>
  <c r="BY113" i="2"/>
  <c r="BS113" i="2"/>
  <c r="BR113" i="2"/>
  <c r="BQ113" i="2"/>
  <c r="BP113" i="2"/>
  <c r="BE113" i="2"/>
  <c r="BD113" i="2"/>
  <c r="BA113" i="2"/>
  <c r="AZ113" i="2"/>
  <c r="AW113" i="2"/>
  <c r="AX113" i="2" s="1"/>
  <c r="AV113" i="2"/>
  <c r="BB113" i="2" s="1"/>
  <c r="AT113" i="2"/>
  <c r="AS113" i="2"/>
  <c r="AQ113" i="2"/>
  <c r="AP113" i="2"/>
  <c r="AN113" i="2"/>
  <c r="AM113" i="2"/>
  <c r="AL113" i="2"/>
  <c r="AK113" i="2"/>
  <c r="AH113" i="2"/>
  <c r="AG113" i="2"/>
  <c r="AF113" i="2"/>
  <c r="AF123" i="2" s="1"/>
  <c r="AE113" i="2"/>
  <c r="AE123" i="2" s="1"/>
  <c r="AC113" i="2"/>
  <c r="AB113" i="2"/>
  <c r="AD113" i="2" s="1"/>
  <c r="V113" i="2"/>
  <c r="U113" i="2"/>
  <c r="N113" i="2"/>
  <c r="O113" i="2" s="1"/>
  <c r="K113" i="2"/>
  <c r="K123" i="2" s="1"/>
  <c r="CC112" i="2"/>
  <c r="CE112" i="2" s="1"/>
  <c r="BY112" i="2"/>
  <c r="BR112" i="2"/>
  <c r="BP112" i="2"/>
  <c r="BF112" i="2"/>
  <c r="BF123" i="2" s="1"/>
  <c r="BD112" i="2"/>
  <c r="AV112" i="2"/>
  <c r="AT112" i="2"/>
  <c r="AS112" i="2"/>
  <c r="AP112" i="2"/>
  <c r="AQ112" i="2" s="1"/>
  <c r="AO112" i="2"/>
  <c r="AO123" i="2" s="1"/>
  <c r="CE111" i="2"/>
  <c r="CD111" i="2"/>
  <c r="CA111" i="2"/>
  <c r="CA123" i="2" s="1"/>
  <c r="BZ111" i="2"/>
  <c r="BY111" i="2"/>
  <c r="BX111" i="2"/>
  <c r="BV111" i="2"/>
  <c r="BV123" i="2" s="1"/>
  <c r="BU111" i="2"/>
  <c r="BS111" i="2"/>
  <c r="BS123" i="2" s="1"/>
  <c r="BR111" i="2"/>
  <c r="BQ111" i="2"/>
  <c r="BP111" i="2"/>
  <c r="BM111" i="2"/>
  <c r="BD111" i="2"/>
  <c r="BE111" i="2" s="1"/>
  <c r="BB111" i="2"/>
  <c r="AZ111" i="2"/>
  <c r="BA111" i="2" s="1"/>
  <c r="AX111" i="2"/>
  <c r="AW111" i="2"/>
  <c r="AV111" i="2"/>
  <c r="AT111" i="2"/>
  <c r="AS111" i="2"/>
  <c r="AQ111" i="2"/>
  <c r="AP111" i="2"/>
  <c r="AN111" i="2"/>
  <c r="AM111" i="2"/>
  <c r="AL111" i="2"/>
  <c r="AK111" i="2"/>
  <c r="AH111" i="2"/>
  <c r="AG111" i="2"/>
  <c r="AF111" i="2"/>
  <c r="AE111" i="2"/>
  <c r="AD111" i="2"/>
  <c r="AC111" i="2"/>
  <c r="AB111" i="2"/>
  <c r="U111" i="2"/>
  <c r="V111" i="2" s="1"/>
  <c r="O111" i="2"/>
  <c r="N111" i="2"/>
  <c r="K111" i="2"/>
  <c r="CE110" i="2"/>
  <c r="CC110" i="2"/>
  <c r="BY110" i="2"/>
  <c r="BR110" i="2"/>
  <c r="BQ110" i="2"/>
  <c r="BP110" i="2"/>
  <c r="BD110" i="2"/>
  <c r="BE110" i="2" s="1"/>
  <c r="BB110" i="2"/>
  <c r="BA110" i="2"/>
  <c r="AZ110" i="2"/>
  <c r="AX110" i="2"/>
  <c r="AW110" i="2"/>
  <c r="AV110" i="2"/>
  <c r="AS110" i="2"/>
  <c r="AT110" i="2" s="1"/>
  <c r="AQ110" i="2"/>
  <c r="AP110" i="2"/>
  <c r="AM110" i="2"/>
  <c r="AN110" i="2" s="1"/>
  <c r="AK110" i="2"/>
  <c r="AL110" i="2" s="1"/>
  <c r="AG110" i="2"/>
  <c r="AH110" i="2" s="1"/>
  <c r="AF110" i="2"/>
  <c r="AE110" i="2"/>
  <c r="AC110" i="2"/>
  <c r="AB110" i="2"/>
  <c r="AD110" i="2" s="1"/>
  <c r="Y110" i="2"/>
  <c r="Y123" i="2" s="1"/>
  <c r="U110" i="2"/>
  <c r="V110" i="2" s="1"/>
  <c r="N110" i="2"/>
  <c r="O110" i="2" s="1"/>
  <c r="K110" i="2"/>
  <c r="CC109" i="2"/>
  <c r="BY109" i="2"/>
  <c r="BR109" i="2"/>
  <c r="BP109" i="2"/>
  <c r="BQ109" i="2" s="1"/>
  <c r="BE109" i="2"/>
  <c r="BD109" i="2"/>
  <c r="BA109" i="2"/>
  <c r="AZ109" i="2"/>
  <c r="AW109" i="2"/>
  <c r="AX109" i="2" s="1"/>
  <c r="AV109" i="2"/>
  <c r="BB109" i="2" s="1"/>
  <c r="AT109" i="2"/>
  <c r="AS109" i="2"/>
  <c r="AQ109" i="2"/>
  <c r="AP109" i="2"/>
  <c r="AN109" i="2"/>
  <c r="AM109" i="2"/>
  <c r="AL109" i="2"/>
  <c r="AK109" i="2"/>
  <c r="AH109" i="2"/>
  <c r="AG109" i="2"/>
  <c r="AF109" i="2"/>
  <c r="AE109" i="2"/>
  <c r="AD109" i="2"/>
  <c r="AC109" i="2"/>
  <c r="AB109" i="2"/>
  <c r="U109" i="2"/>
  <c r="N109" i="2"/>
  <c r="O109" i="2" s="1"/>
  <c r="N106" i="2"/>
  <c r="I106" i="2"/>
  <c r="CF105" i="2"/>
  <c r="CB105" i="2"/>
  <c r="CA105" i="2"/>
  <c r="BZ105" i="2"/>
  <c r="BW105" i="2"/>
  <c r="BV105" i="2"/>
  <c r="BU105" i="2"/>
  <c r="BT105" i="2"/>
  <c r="BS105" i="2"/>
  <c r="BN105" i="2"/>
  <c r="BM105" i="2"/>
  <c r="BL105" i="2"/>
  <c r="BK105" i="2"/>
  <c r="BJ105" i="2"/>
  <c r="BI105" i="2"/>
  <c r="BH105" i="2"/>
  <c r="BG105" i="2"/>
  <c r="BC105" i="2"/>
  <c r="AY105" i="2"/>
  <c r="AU105" i="2"/>
  <c r="AR105" i="2"/>
  <c r="AJ105" i="2"/>
  <c r="AI105" i="2"/>
  <c r="AA105" i="2"/>
  <c r="Z105" i="2"/>
  <c r="X105" i="2"/>
  <c r="W105" i="2"/>
  <c r="T105" i="2"/>
  <c r="S105" i="2"/>
  <c r="R105" i="2"/>
  <c r="Q105" i="2"/>
  <c r="L105" i="2"/>
  <c r="J105" i="2"/>
  <c r="I105" i="2"/>
  <c r="H105" i="2"/>
  <c r="G105" i="2"/>
  <c r="F105" i="2"/>
  <c r="E105" i="2"/>
  <c r="D105" i="2"/>
  <c r="CC103" i="2"/>
  <c r="CE103" i="2" s="1"/>
  <c r="BY103" i="2"/>
  <c r="BR103" i="2"/>
  <c r="BP103" i="2"/>
  <c r="BQ103" i="2" s="1"/>
  <c r="BF103" i="2"/>
  <c r="BF105" i="2" s="1"/>
  <c r="BE103" i="2"/>
  <c r="BD103" i="2"/>
  <c r="AV103" i="2"/>
  <c r="AT103" i="2"/>
  <c r="AS103" i="2"/>
  <c r="AO103" i="2"/>
  <c r="AZ103" i="2" s="1"/>
  <c r="BA103" i="2" s="1"/>
  <c r="AM103" i="2"/>
  <c r="AN103" i="2" s="1"/>
  <c r="AK103" i="2"/>
  <c r="AL103" i="2" s="1"/>
  <c r="AG103" i="2"/>
  <c r="AH103" i="2" s="1"/>
  <c r="AF103" i="2"/>
  <c r="AE103" i="2"/>
  <c r="AC103" i="2"/>
  <c r="AB103" i="2"/>
  <c r="AD103" i="2" s="1"/>
  <c r="Y103" i="2"/>
  <c r="U103" i="2"/>
  <c r="V103" i="2" s="1"/>
  <c r="O103" i="2"/>
  <c r="N103" i="2"/>
  <c r="M103" i="2"/>
  <c r="K103" i="2"/>
  <c r="CE102" i="2"/>
  <c r="CC102" i="2"/>
  <c r="BY102" i="2"/>
  <c r="BR102" i="2"/>
  <c r="BP102" i="2"/>
  <c r="BF102" i="2"/>
  <c r="BD102" i="2"/>
  <c r="BE102" i="2" s="1"/>
  <c r="BB102" i="2"/>
  <c r="AV102" i="2"/>
  <c r="AT102" i="2"/>
  <c r="AS102" i="2"/>
  <c r="AO102" i="2"/>
  <c r="AN102" i="2"/>
  <c r="AM102" i="2"/>
  <c r="AK102" i="2"/>
  <c r="AL102" i="2" s="1"/>
  <c r="AH102" i="2"/>
  <c r="AG102" i="2"/>
  <c r="AE102" i="2"/>
  <c r="AF102" i="2" s="1"/>
  <c r="AD102" i="2"/>
  <c r="AC102" i="2"/>
  <c r="Y102" i="2"/>
  <c r="AB102" i="2" s="1"/>
  <c r="U102" i="2"/>
  <c r="V102" i="2" s="1"/>
  <c r="N102" i="2"/>
  <c r="O102" i="2" s="1"/>
  <c r="M102" i="2"/>
  <c r="K102" i="2"/>
  <c r="CE101" i="2"/>
  <c r="CD101" i="2"/>
  <c r="CC101" i="2"/>
  <c r="BY101" i="2"/>
  <c r="BX101" i="2"/>
  <c r="BR101" i="2"/>
  <c r="BQ101" i="2"/>
  <c r="BP101" i="2"/>
  <c r="BE101" i="2"/>
  <c r="BD101" i="2"/>
  <c r="BB101" i="2"/>
  <c r="AX101" i="2"/>
  <c r="AW101" i="2"/>
  <c r="AV101" i="2"/>
  <c r="AS101" i="2"/>
  <c r="AT101" i="2" s="1"/>
  <c r="AQ101" i="2"/>
  <c r="AO101" i="2"/>
  <c r="AP101" i="2" s="1"/>
  <c r="AM101" i="2"/>
  <c r="AN101" i="2" s="1"/>
  <c r="AK101" i="2"/>
  <c r="AL101" i="2" s="1"/>
  <c r="AH101" i="2"/>
  <c r="AG101" i="2"/>
  <c r="AE101" i="2"/>
  <c r="AF101" i="2" s="1"/>
  <c r="AC101" i="2"/>
  <c r="AB101" i="2"/>
  <c r="AD101" i="2" s="1"/>
  <c r="V101" i="2"/>
  <c r="U101" i="2"/>
  <c r="N101" i="2"/>
  <c r="O101" i="2" s="1"/>
  <c r="M101" i="2"/>
  <c r="M105" i="2" s="1"/>
  <c r="CD100" i="2"/>
  <c r="CC100" i="2"/>
  <c r="CE100" i="2" s="1"/>
  <c r="BY100" i="2"/>
  <c r="BX100" i="2"/>
  <c r="BX105" i="2" s="1"/>
  <c r="BR100" i="2"/>
  <c r="BQ100" i="2"/>
  <c r="BP100" i="2"/>
  <c r="BD100" i="2"/>
  <c r="BE100" i="2" s="1"/>
  <c r="BB100" i="2"/>
  <c r="BA100" i="2"/>
  <c r="AZ100" i="2"/>
  <c r="AX100" i="2"/>
  <c r="AW100" i="2"/>
  <c r="AV100" i="2"/>
  <c r="AS100" i="2"/>
  <c r="AT100" i="2" s="1"/>
  <c r="AQ100" i="2"/>
  <c r="AP100" i="2"/>
  <c r="AM100" i="2"/>
  <c r="AN100" i="2" s="1"/>
  <c r="AL100" i="2"/>
  <c r="AK100" i="2"/>
  <c r="AG100" i="2"/>
  <c r="AH100" i="2" s="1"/>
  <c r="AF100" i="2"/>
  <c r="AE100" i="2"/>
  <c r="AC100" i="2"/>
  <c r="AB100" i="2"/>
  <c r="AD100" i="2" s="1"/>
  <c r="V100" i="2"/>
  <c r="U100" i="2"/>
  <c r="O100" i="2"/>
  <c r="N100" i="2"/>
  <c r="M100" i="2"/>
  <c r="K100" i="2"/>
  <c r="K105" i="2" s="1"/>
  <c r="CE99" i="2"/>
  <c r="CD99" i="2"/>
  <c r="CD105" i="2" s="1"/>
  <c r="CC99" i="2"/>
  <c r="BY99" i="2"/>
  <c r="BY105" i="2" s="1"/>
  <c r="BQ99" i="2"/>
  <c r="BP99" i="2"/>
  <c r="BO99" i="2"/>
  <c r="BO105" i="2" s="1"/>
  <c r="BE99" i="2"/>
  <c r="BD99" i="2"/>
  <c r="BA99" i="2"/>
  <c r="AZ99" i="2"/>
  <c r="AV99" i="2"/>
  <c r="AT99" i="2"/>
  <c r="AS99" i="2"/>
  <c r="AP99" i="2"/>
  <c r="AQ99" i="2" s="1"/>
  <c r="AN99" i="2"/>
  <c r="AM99" i="2"/>
  <c r="AK99" i="2"/>
  <c r="AL99" i="2" s="1"/>
  <c r="AH99" i="2"/>
  <c r="AG99" i="2"/>
  <c r="AE99" i="2"/>
  <c r="AF99" i="2" s="1"/>
  <c r="AD99" i="2"/>
  <c r="AD105" i="2" s="1"/>
  <c r="AC99" i="2"/>
  <c r="AB99" i="2"/>
  <c r="U99" i="2"/>
  <c r="O99" i="2"/>
  <c r="N99" i="2"/>
  <c r="BH96" i="2"/>
  <c r="CF94" i="2"/>
  <c r="CF96" i="2" s="1"/>
  <c r="CB94" i="2"/>
  <c r="CA94" i="2"/>
  <c r="BW94" i="2"/>
  <c r="BV94" i="2"/>
  <c r="BV96" i="2" s="1"/>
  <c r="BT94" i="2"/>
  <c r="BT96" i="2" s="1"/>
  <c r="BO94" i="2"/>
  <c r="BN94" i="2"/>
  <c r="BL94" i="2"/>
  <c r="BK94" i="2"/>
  <c r="BJ94" i="2"/>
  <c r="BI94" i="2"/>
  <c r="BH94" i="2"/>
  <c r="BG94" i="2"/>
  <c r="BC94" i="2"/>
  <c r="AZ94" i="2"/>
  <c r="BA94" i="2" s="1"/>
  <c r="AY94" i="2"/>
  <c r="AV94" i="2"/>
  <c r="AU94" i="2"/>
  <c r="AR94" i="2"/>
  <c r="AO94" i="2"/>
  <c r="AJ94" i="2"/>
  <c r="AI94" i="2"/>
  <c r="AA94" i="2"/>
  <c r="Z94" i="2"/>
  <c r="X94" i="2"/>
  <c r="W94" i="2"/>
  <c r="T94" i="2"/>
  <c r="S94" i="2"/>
  <c r="R94" i="2"/>
  <c r="Q94" i="2"/>
  <c r="N94" i="2"/>
  <c r="O94" i="2" s="1"/>
  <c r="M94" i="2"/>
  <c r="L94" i="2"/>
  <c r="J94" i="2"/>
  <c r="H94" i="2"/>
  <c r="G94" i="2"/>
  <c r="I94" i="2" s="1"/>
  <c r="F94" i="2"/>
  <c r="E94" i="2"/>
  <c r="D94" i="2"/>
  <c r="CE92" i="2"/>
  <c r="CD92" i="2"/>
  <c r="CC92" i="2"/>
  <c r="BY92" i="2"/>
  <c r="BR92" i="2"/>
  <c r="BQ92" i="2"/>
  <c r="BP92" i="2"/>
  <c r="BD92" i="2"/>
  <c r="BE92" i="2" s="1"/>
  <c r="BB92" i="2"/>
  <c r="BA92" i="2"/>
  <c r="AZ92" i="2"/>
  <c r="AX92" i="2"/>
  <c r="AW92" i="2"/>
  <c r="AV92" i="2"/>
  <c r="AS92" i="2"/>
  <c r="AT92" i="2" s="1"/>
  <c r="AQ92" i="2"/>
  <c r="AP92" i="2"/>
  <c r="AM92" i="2"/>
  <c r="AN92" i="2" s="1"/>
  <c r="AL92" i="2"/>
  <c r="AK92" i="2"/>
  <c r="AG92" i="2"/>
  <c r="AH92" i="2" s="1"/>
  <c r="AF92" i="2"/>
  <c r="AE92" i="2"/>
  <c r="AC92" i="2"/>
  <c r="AB92" i="2"/>
  <c r="AD92" i="2" s="1"/>
  <c r="Y92" i="2"/>
  <c r="Y94" i="2" s="1"/>
  <c r="U92" i="2"/>
  <c r="V92" i="2" s="1"/>
  <c r="O92" i="2"/>
  <c r="N92" i="2"/>
  <c r="CD91" i="2"/>
  <c r="CD94" i="2" s="1"/>
  <c r="CC91" i="2"/>
  <c r="BZ91" i="2"/>
  <c r="BZ94" i="2" s="1"/>
  <c r="BY91" i="2"/>
  <c r="BX91" i="2"/>
  <c r="BX94" i="2" s="1"/>
  <c r="BU91" i="2"/>
  <c r="BU94" i="2" s="1"/>
  <c r="BU96" i="2" s="1"/>
  <c r="BS91" i="2"/>
  <c r="BR91" i="2"/>
  <c r="BP91" i="2"/>
  <c r="BQ91" i="2" s="1"/>
  <c r="BM91" i="2"/>
  <c r="BM94" i="2" s="1"/>
  <c r="BM96" i="2" s="1"/>
  <c r="BD91" i="2"/>
  <c r="BE91" i="2" s="1"/>
  <c r="BB91" i="2"/>
  <c r="BA91" i="2"/>
  <c r="AZ91" i="2"/>
  <c r="AW91" i="2"/>
  <c r="AX91" i="2" s="1"/>
  <c r="AV91" i="2"/>
  <c r="AS91" i="2"/>
  <c r="AT91" i="2" s="1"/>
  <c r="AQ91" i="2"/>
  <c r="AP91" i="2"/>
  <c r="AM91" i="2"/>
  <c r="AN91" i="2" s="1"/>
  <c r="AL91" i="2"/>
  <c r="AK91" i="2"/>
  <c r="AG91" i="2"/>
  <c r="AH91" i="2" s="1"/>
  <c r="AF91" i="2"/>
  <c r="AE91" i="2"/>
  <c r="AC91" i="2"/>
  <c r="AB91" i="2"/>
  <c r="AD91" i="2" s="1"/>
  <c r="V91" i="2"/>
  <c r="U91" i="2"/>
  <c r="N91" i="2"/>
  <c r="O91" i="2" s="1"/>
  <c r="K91" i="2"/>
  <c r="CE90" i="2"/>
  <c r="CC90" i="2"/>
  <c r="BY90" i="2"/>
  <c r="BR90" i="2"/>
  <c r="BQ90" i="2"/>
  <c r="BP90" i="2"/>
  <c r="BF90" i="2"/>
  <c r="BF94" i="2" s="1"/>
  <c r="BF96" i="2" s="1"/>
  <c r="BD90" i="2"/>
  <c r="BE90" i="2" s="1"/>
  <c r="BB90" i="2"/>
  <c r="BA90" i="2"/>
  <c r="AZ90" i="2"/>
  <c r="AX90" i="2"/>
  <c r="AW90" i="2"/>
  <c r="AV90" i="2"/>
  <c r="AS90" i="2"/>
  <c r="AT90" i="2" s="1"/>
  <c r="AQ90" i="2"/>
  <c r="AP90" i="2"/>
  <c r="AM90" i="2"/>
  <c r="AN90" i="2" s="1"/>
  <c r="AL90" i="2"/>
  <c r="AK90" i="2"/>
  <c r="AG90" i="2"/>
  <c r="AH90" i="2" s="1"/>
  <c r="AF90" i="2"/>
  <c r="AE90" i="2"/>
  <c r="AB90" i="2"/>
  <c r="AD90" i="2" s="1"/>
  <c r="CE89" i="2"/>
  <c r="CC89" i="2"/>
  <c r="BY89" i="2"/>
  <c r="BR89" i="2"/>
  <c r="BQ89" i="2"/>
  <c r="BP89" i="2"/>
  <c r="BE89" i="2"/>
  <c r="BD89" i="2"/>
  <c r="BB89" i="2"/>
  <c r="AZ89" i="2"/>
  <c r="BA89" i="2" s="1"/>
  <c r="AX89" i="2"/>
  <c r="AW89" i="2"/>
  <c r="AV89" i="2"/>
  <c r="AS89" i="2"/>
  <c r="AT89" i="2" s="1"/>
  <c r="AQ89" i="2"/>
  <c r="AP89" i="2"/>
  <c r="AM89" i="2"/>
  <c r="AN89" i="2" s="1"/>
  <c r="AL89" i="2"/>
  <c r="AK89" i="2"/>
  <c r="AG89" i="2"/>
  <c r="AH89" i="2" s="1"/>
  <c r="AF89" i="2"/>
  <c r="AE89" i="2"/>
  <c r="AD89" i="2"/>
  <c r="AC89" i="2"/>
  <c r="AB89" i="2"/>
  <c r="U89" i="2"/>
  <c r="V89" i="2" s="1"/>
  <c r="O89" i="2"/>
  <c r="N89" i="2"/>
  <c r="K89" i="2"/>
  <c r="CC88" i="2"/>
  <c r="CC94" i="2" s="1"/>
  <c r="BY88" i="2"/>
  <c r="BR88" i="2"/>
  <c r="BP88" i="2"/>
  <c r="BQ88" i="2" s="1"/>
  <c r="BE88" i="2"/>
  <c r="BD88" i="2"/>
  <c r="BA88" i="2"/>
  <c r="AZ88" i="2"/>
  <c r="AW88" i="2"/>
  <c r="AX88" i="2" s="1"/>
  <c r="AV88" i="2"/>
  <c r="BB88" i="2" s="1"/>
  <c r="AT88" i="2"/>
  <c r="AS88" i="2"/>
  <c r="AQ88" i="2"/>
  <c r="AP88" i="2"/>
  <c r="AN88" i="2"/>
  <c r="AM88" i="2"/>
  <c r="AL88" i="2"/>
  <c r="AK88" i="2"/>
  <c r="AH88" i="2"/>
  <c r="AG88" i="2"/>
  <c r="AF88" i="2"/>
  <c r="AE88" i="2"/>
  <c r="AC88" i="2"/>
  <c r="AB88" i="2"/>
  <c r="V88" i="2"/>
  <c r="U88" i="2"/>
  <c r="N88" i="2"/>
  <c r="O88" i="2" s="1"/>
  <c r="CE87" i="2"/>
  <c r="CC87" i="2"/>
  <c r="BY87" i="2"/>
  <c r="BS87" i="2"/>
  <c r="BS94" i="2" s="1"/>
  <c r="BS96" i="2" s="1"/>
  <c r="BR87" i="2"/>
  <c r="BP87" i="2"/>
  <c r="BQ87" i="2" s="1"/>
  <c r="BE87" i="2"/>
  <c r="BD87" i="2"/>
  <c r="BA87" i="2"/>
  <c r="AZ87" i="2"/>
  <c r="AV87" i="2"/>
  <c r="AT87" i="2"/>
  <c r="AS87" i="2"/>
  <c r="AP87" i="2"/>
  <c r="AQ87" i="2" s="1"/>
  <c r="AN87" i="2"/>
  <c r="AM87" i="2"/>
  <c r="AK87" i="2"/>
  <c r="AL87" i="2" s="1"/>
  <c r="AH87" i="2"/>
  <c r="AG87" i="2"/>
  <c r="AE87" i="2"/>
  <c r="AD87" i="2"/>
  <c r="AC87" i="2"/>
  <c r="AB87" i="2"/>
  <c r="V87" i="2"/>
  <c r="U87" i="2"/>
  <c r="O87" i="2"/>
  <c r="N87" i="2"/>
  <c r="K87" i="2"/>
  <c r="K94" i="2" s="1"/>
  <c r="CE86" i="2"/>
  <c r="CC86" i="2"/>
  <c r="BY86" i="2"/>
  <c r="BY94" i="2" s="1"/>
  <c r="BR86" i="2"/>
  <c r="BQ86" i="2"/>
  <c r="BP86" i="2"/>
  <c r="BE86" i="2"/>
  <c r="BD86" i="2"/>
  <c r="BB86" i="2"/>
  <c r="AZ86" i="2"/>
  <c r="BA86" i="2" s="1"/>
  <c r="AX86" i="2"/>
  <c r="AW86" i="2"/>
  <c r="AV86" i="2"/>
  <c r="AS86" i="2"/>
  <c r="AT86" i="2" s="1"/>
  <c r="AQ86" i="2"/>
  <c r="AP86" i="2"/>
  <c r="AM86" i="2"/>
  <c r="AN86" i="2" s="1"/>
  <c r="AL86" i="2"/>
  <c r="AK86" i="2"/>
  <c r="AG86" i="2"/>
  <c r="AF86" i="2"/>
  <c r="AE86" i="2"/>
  <c r="AD86" i="2"/>
  <c r="AC86" i="2"/>
  <c r="AC94" i="2" s="1"/>
  <c r="AB86" i="2"/>
  <c r="U86" i="2"/>
  <c r="O86" i="2"/>
  <c r="N86" i="2"/>
  <c r="K86" i="2"/>
  <c r="CF84" i="2"/>
  <c r="CE84" i="2"/>
  <c r="CD84" i="2"/>
  <c r="CB84" i="2"/>
  <c r="CA84" i="2"/>
  <c r="BZ84" i="2"/>
  <c r="BY84" i="2"/>
  <c r="BX84" i="2"/>
  <c r="BW84" i="2"/>
  <c r="BV84" i="2"/>
  <c r="BU84" i="2"/>
  <c r="BT84" i="2"/>
  <c r="BS84" i="2"/>
  <c r="BO84" i="2"/>
  <c r="BN84" i="2"/>
  <c r="BM84" i="2"/>
  <c r="BL84" i="2"/>
  <c r="BK84" i="2"/>
  <c r="BJ84" i="2"/>
  <c r="BI84" i="2"/>
  <c r="BH84" i="2"/>
  <c r="BG84" i="2"/>
  <c r="BF84" i="2"/>
  <c r="AY84" i="2"/>
  <c r="CC82" i="2"/>
  <c r="CC84" i="2" s="1"/>
  <c r="BR82" i="2"/>
  <c r="BR84" i="2" s="1"/>
  <c r="BR96" i="2" s="1"/>
  <c r="BP82" i="2"/>
  <c r="BE82" i="2"/>
  <c r="BD82" i="2"/>
  <c r="AZ82" i="2"/>
  <c r="BA82" i="2" s="1"/>
  <c r="AV82" i="2"/>
  <c r="AT82" i="2"/>
  <c r="AS82" i="2"/>
  <c r="AP82" i="2"/>
  <c r="AQ82" i="2" s="1"/>
  <c r="AN82" i="2"/>
  <c r="AM82" i="2"/>
  <c r="AK82" i="2"/>
  <c r="AL82" i="2" s="1"/>
  <c r="AH82" i="2"/>
  <c r="AG82" i="2"/>
  <c r="AE82" i="2"/>
  <c r="AF82" i="2" s="1"/>
  <c r="AD82" i="2"/>
  <c r="AC82" i="2"/>
  <c r="AB82" i="2"/>
  <c r="U82" i="2"/>
  <c r="V82" i="2" s="1"/>
  <c r="O82" i="2"/>
  <c r="N82" i="2"/>
  <c r="CF80" i="2"/>
  <c r="CC80" i="2"/>
  <c r="CA80" i="2"/>
  <c r="BX80" i="2"/>
  <c r="BX96" i="2" s="1"/>
  <c r="BV80" i="2"/>
  <c r="BT80" i="2"/>
  <c r="BO80" i="2"/>
  <c r="BM80" i="2"/>
  <c r="BL80" i="2"/>
  <c r="BK80" i="2"/>
  <c r="BP80" i="2" s="1"/>
  <c r="BQ80" i="2" s="1"/>
  <c r="BJ80" i="2"/>
  <c r="BI80" i="2"/>
  <c r="BH80" i="2"/>
  <c r="BG80" i="2"/>
  <c r="BF80" i="2"/>
  <c r="BC80" i="2"/>
  <c r="BD80" i="2" s="1"/>
  <c r="BE80" i="2" s="1"/>
  <c r="AZ80" i="2"/>
  <c r="BA80" i="2" s="1"/>
  <c r="AY80" i="2"/>
  <c r="AV80" i="2" s="1"/>
  <c r="AU80" i="2"/>
  <c r="AR80" i="2"/>
  <c r="AS80" i="2" s="1"/>
  <c r="AT80" i="2" s="1"/>
  <c r="AQ80" i="2"/>
  <c r="AO80" i="2"/>
  <c r="AM80" i="2"/>
  <c r="AN80" i="2" s="1"/>
  <c r="AJ80" i="2"/>
  <c r="AI80" i="2"/>
  <c r="AE80" i="2"/>
  <c r="AA80" i="2"/>
  <c r="AP80" i="2" s="1"/>
  <c r="Z80" i="2"/>
  <c r="Y80" i="2"/>
  <c r="X80" i="2"/>
  <c r="W80" i="2"/>
  <c r="T80" i="2"/>
  <c r="S80" i="2"/>
  <c r="R80" i="2"/>
  <c r="Q80" i="2"/>
  <c r="N80" i="2"/>
  <c r="O80" i="2" s="1"/>
  <c r="M80" i="2"/>
  <c r="L80" i="2"/>
  <c r="K80" i="2"/>
  <c r="J80" i="2"/>
  <c r="CE78" i="2"/>
  <c r="CD78" i="2"/>
  <c r="CC78" i="2"/>
  <c r="BY78" i="2"/>
  <c r="BX78" i="2"/>
  <c r="BU78" i="2"/>
  <c r="BU80" i="2" s="1"/>
  <c r="BS78" i="2"/>
  <c r="BR78" i="2"/>
  <c r="BP78" i="2"/>
  <c r="BQ78" i="2" s="1"/>
  <c r="BE78" i="2"/>
  <c r="BD78" i="2"/>
  <c r="BA78" i="2"/>
  <c r="AZ78" i="2"/>
  <c r="AV78" i="2"/>
  <c r="BB78" i="2" s="1"/>
  <c r="AT78" i="2"/>
  <c r="AS78" i="2"/>
  <c r="AP78" i="2"/>
  <c r="AQ78" i="2" s="1"/>
  <c r="AN78" i="2"/>
  <c r="AM78" i="2"/>
  <c r="AK78" i="2"/>
  <c r="AL78" i="2" s="1"/>
  <c r="AH78" i="2"/>
  <c r="AG78" i="2"/>
  <c r="AE78" i="2"/>
  <c r="AF78" i="2" s="1"/>
  <c r="AF80" i="2" s="1"/>
  <c r="AC78" i="2"/>
  <c r="AB78" i="2"/>
  <c r="AD78" i="2" s="1"/>
  <c r="U78" i="2"/>
  <c r="N78" i="2"/>
  <c r="K78" i="2"/>
  <c r="CE77" i="2"/>
  <c r="CD77" i="2"/>
  <c r="CC77" i="2"/>
  <c r="BY77" i="2"/>
  <c r="BR77" i="2"/>
  <c r="BQ77" i="2"/>
  <c r="BP77" i="2"/>
  <c r="BE77" i="2"/>
  <c r="BD77" i="2"/>
  <c r="BB77" i="2"/>
  <c r="AZ77" i="2"/>
  <c r="BA77" i="2" s="1"/>
  <c r="AX77" i="2"/>
  <c r="AW77" i="2"/>
  <c r="AV77" i="2"/>
  <c r="AT77" i="2"/>
  <c r="AS77" i="2"/>
  <c r="AQ77" i="2"/>
  <c r="AP77" i="2"/>
  <c r="AN77" i="2"/>
  <c r="AM77" i="2"/>
  <c r="AL77" i="2"/>
  <c r="AK77" i="2"/>
  <c r="AH77" i="2"/>
  <c r="AG77" i="2"/>
  <c r="AF77" i="2"/>
  <c r="AE77" i="2"/>
  <c r="AD77" i="2"/>
  <c r="AC77" i="2"/>
  <c r="AB77" i="2"/>
  <c r="U77" i="2"/>
  <c r="V77" i="2" s="1"/>
  <c r="O77" i="2"/>
  <c r="N77" i="2"/>
  <c r="K77" i="2"/>
  <c r="CE76" i="2"/>
  <c r="CE80" i="2" s="1"/>
  <c r="CD76" i="2"/>
  <c r="BZ76" i="2"/>
  <c r="BY76" i="2"/>
  <c r="BX76" i="2"/>
  <c r="BS76" i="2"/>
  <c r="BR76" i="2"/>
  <c r="BP76" i="2"/>
  <c r="BQ76" i="2" s="1"/>
  <c r="BE76" i="2"/>
  <c r="BD76" i="2"/>
  <c r="BA76" i="2"/>
  <c r="AZ76" i="2"/>
  <c r="AV76" i="2"/>
  <c r="BB76" i="2" s="1"/>
  <c r="AS76" i="2"/>
  <c r="AP76" i="2"/>
  <c r="AM76" i="2"/>
  <c r="AK76" i="2"/>
  <c r="CF75" i="2"/>
  <c r="CD75" i="2"/>
  <c r="CC75" i="2"/>
  <c r="CB75" i="2"/>
  <c r="CB80" i="2" s="1"/>
  <c r="BZ75" i="2"/>
  <c r="BZ80" i="2" s="1"/>
  <c r="BW75" i="2"/>
  <c r="BT75" i="2"/>
  <c r="BS75" i="2"/>
  <c r="BS80" i="2" s="1"/>
  <c r="BQ75" i="2"/>
  <c r="BP75" i="2"/>
  <c r="BN75" i="2"/>
  <c r="BN80" i="2" s="1"/>
  <c r="BK75" i="2"/>
  <c r="BE75" i="2"/>
  <c r="BD75" i="2"/>
  <c r="BB75" i="2"/>
  <c r="AZ75" i="2"/>
  <c r="BA75" i="2" s="1"/>
  <c r="AX75" i="2"/>
  <c r="AW75" i="2"/>
  <c r="AV75" i="2"/>
  <c r="AS75" i="2"/>
  <c r="AT75" i="2" s="1"/>
  <c r="AQ75" i="2"/>
  <c r="AP75" i="2"/>
  <c r="AM75" i="2"/>
  <c r="AN75" i="2" s="1"/>
  <c r="AL75" i="2"/>
  <c r="AK75" i="2"/>
  <c r="AG75" i="2"/>
  <c r="AF75" i="2"/>
  <c r="AE75" i="2"/>
  <c r="AD75" i="2"/>
  <c r="AC75" i="2"/>
  <c r="AC80" i="2" s="1"/>
  <c r="AB75" i="2"/>
  <c r="U75" i="2"/>
  <c r="O75" i="2"/>
  <c r="N75" i="2"/>
  <c r="CF73" i="2"/>
  <c r="CD73" i="2"/>
  <c r="CB73" i="2"/>
  <c r="BW73" i="2"/>
  <c r="BV73" i="2"/>
  <c r="BT73" i="2"/>
  <c r="BS73" i="2"/>
  <c r="BO73" i="2"/>
  <c r="BN73" i="2"/>
  <c r="BM73" i="2"/>
  <c r="BH73" i="2"/>
  <c r="BF73" i="2"/>
  <c r="AY73" i="2"/>
  <c r="CE71" i="2"/>
  <c r="CC71" i="2"/>
  <c r="BZ71" i="2"/>
  <c r="BZ73" i="2" s="1"/>
  <c r="BY71" i="2"/>
  <c r="BX71" i="2"/>
  <c r="BX73" i="2" s="1"/>
  <c r="BR71" i="2"/>
  <c r="BQ71" i="2"/>
  <c r="BP71" i="2"/>
  <c r="BE71" i="2"/>
  <c r="BD71" i="2"/>
  <c r="BB71" i="2"/>
  <c r="AZ71" i="2"/>
  <c r="BA71" i="2" s="1"/>
  <c r="AX71" i="2"/>
  <c r="AW71" i="2"/>
  <c r="AV71" i="2"/>
  <c r="AT71" i="2"/>
  <c r="AS71" i="2"/>
  <c r="AQ71" i="2"/>
  <c r="AP71" i="2"/>
  <c r="AN71" i="2"/>
  <c r="AM71" i="2"/>
  <c r="AL71" i="2"/>
  <c r="AK71" i="2"/>
  <c r="AH71" i="2"/>
  <c r="AG71" i="2"/>
  <c r="AF71" i="2"/>
  <c r="AE71" i="2"/>
  <c r="AD71" i="2"/>
  <c r="AC71" i="2"/>
  <c r="AB71" i="2"/>
  <c r="Y71" i="2"/>
  <c r="V71" i="2"/>
  <c r="U71" i="2"/>
  <c r="O71" i="2"/>
  <c r="N71" i="2"/>
  <c r="K71" i="2"/>
  <c r="CE70" i="2"/>
  <c r="CC70" i="2"/>
  <c r="BY70" i="2"/>
  <c r="BR70" i="2"/>
  <c r="BQ70" i="2"/>
  <c r="BP70" i="2"/>
  <c r="BE70" i="2"/>
  <c r="BD70" i="2"/>
  <c r="BB70" i="2"/>
  <c r="AZ70" i="2"/>
  <c r="BA70" i="2" s="1"/>
  <c r="AX70" i="2"/>
  <c r="AW70" i="2"/>
  <c r="AV70" i="2"/>
  <c r="AS70" i="2"/>
  <c r="AT70" i="2" s="1"/>
  <c r="AQ70" i="2"/>
  <c r="AP70" i="2"/>
  <c r="AM70" i="2"/>
  <c r="AN70" i="2" s="1"/>
  <c r="AL70" i="2"/>
  <c r="AK70" i="2"/>
  <c r="AG70" i="2"/>
  <c r="AH70" i="2" s="1"/>
  <c r="AF70" i="2"/>
  <c r="AE70" i="2"/>
  <c r="AD70" i="2"/>
  <c r="AC70" i="2"/>
  <c r="AB70" i="2"/>
  <c r="U70" i="2"/>
  <c r="V70" i="2" s="1"/>
  <c r="O70" i="2"/>
  <c r="N70" i="2"/>
  <c r="K70" i="2"/>
  <c r="CE69" i="2"/>
  <c r="CE73" i="2" s="1"/>
  <c r="CC69" i="2"/>
  <c r="BW69" i="2"/>
  <c r="BY69" i="2" s="1"/>
  <c r="BR69" i="2"/>
  <c r="BQ69" i="2"/>
  <c r="BP69" i="2"/>
  <c r="BE69" i="2"/>
  <c r="BD69" i="2"/>
  <c r="BB69" i="2"/>
  <c r="AZ69" i="2"/>
  <c r="BA69" i="2" s="1"/>
  <c r="AX69" i="2"/>
  <c r="AW69" i="2"/>
  <c r="AV69" i="2"/>
  <c r="AT69" i="2"/>
  <c r="AS69" i="2"/>
  <c r="AQ69" i="2"/>
  <c r="AP69" i="2"/>
  <c r="AN69" i="2"/>
  <c r="AM69" i="2"/>
  <c r="AL69" i="2"/>
  <c r="AK69" i="2"/>
  <c r="AH69" i="2"/>
  <c r="AG69" i="2"/>
  <c r="AF69" i="2"/>
  <c r="AE69" i="2"/>
  <c r="AD69" i="2"/>
  <c r="AC69" i="2"/>
  <c r="AB69" i="2"/>
  <c r="U69" i="2"/>
  <c r="V69" i="2" s="1"/>
  <c r="O69" i="2"/>
  <c r="N69" i="2"/>
  <c r="CC68" i="2"/>
  <c r="CC73" i="2" s="1"/>
  <c r="CA68" i="2"/>
  <c r="CA73" i="2" s="1"/>
  <c r="BW68" i="2"/>
  <c r="BU68" i="2"/>
  <c r="BU73" i="2" s="1"/>
  <c r="BR68" i="2"/>
  <c r="BQ68" i="2"/>
  <c r="BN68" i="2"/>
  <c r="BK68" i="2"/>
  <c r="BP68" i="2" s="1"/>
  <c r="BJ68" i="2"/>
  <c r="BE68" i="2"/>
  <c r="BD68" i="2"/>
  <c r="BA68" i="2"/>
  <c r="AZ68" i="2"/>
  <c r="AW68" i="2"/>
  <c r="AX68" i="2" s="1"/>
  <c r="AV68" i="2"/>
  <c r="BB68" i="2" s="1"/>
  <c r="AT68" i="2"/>
  <c r="AS68" i="2"/>
  <c r="AQ68" i="2"/>
  <c r="AP68" i="2"/>
  <c r="AN68" i="2"/>
  <c r="AM68" i="2"/>
  <c r="AL68" i="2"/>
  <c r="AK68" i="2"/>
  <c r="AH68" i="2"/>
  <c r="AG68" i="2"/>
  <c r="AF68" i="2"/>
  <c r="AE68" i="2"/>
  <c r="AC68" i="2"/>
  <c r="AB68" i="2"/>
  <c r="V68" i="2"/>
  <c r="U68" i="2"/>
  <c r="N68" i="2"/>
  <c r="O68" i="2" s="1"/>
  <c r="CF65" i="2"/>
  <c r="CD65" i="2"/>
  <c r="CC65" i="2"/>
  <c r="CB65" i="2"/>
  <c r="CA65" i="2"/>
  <c r="BW65" i="2"/>
  <c r="BV65" i="2"/>
  <c r="BU65" i="2"/>
  <c r="BT65" i="2"/>
  <c r="BP65" i="2"/>
  <c r="BQ65" i="2" s="1"/>
  <c r="BO65" i="2"/>
  <c r="BN65" i="2"/>
  <c r="BL65" i="2"/>
  <c r="BK65" i="2"/>
  <c r="BJ65" i="2"/>
  <c r="BI65" i="2"/>
  <c r="BH65" i="2"/>
  <c r="BG65" i="2"/>
  <c r="BF65" i="2"/>
  <c r="BD65" i="2"/>
  <c r="BE65" i="2" s="1"/>
  <c r="BC65" i="2"/>
  <c r="AZ65" i="2"/>
  <c r="BA65" i="2" s="1"/>
  <c r="AY65" i="2"/>
  <c r="AW65" i="2"/>
  <c r="AX65" i="2" s="1"/>
  <c r="AV65" i="2"/>
  <c r="BB65" i="2" s="1"/>
  <c r="AU65" i="2"/>
  <c r="AS65" i="2"/>
  <c r="AT65" i="2" s="1"/>
  <c r="AR65" i="2"/>
  <c r="AO65" i="2"/>
  <c r="AP65" i="2" s="1"/>
  <c r="AQ65" i="2" s="1"/>
  <c r="AN65" i="2"/>
  <c r="AK65" i="2"/>
  <c r="AL65" i="2" s="1"/>
  <c r="AJ65" i="2"/>
  <c r="AM65" i="2" s="1"/>
  <c r="AI65" i="2"/>
  <c r="AG65" i="2"/>
  <c r="AC65" i="2"/>
  <c r="AB65" i="2"/>
  <c r="AA65" i="2"/>
  <c r="Z65" i="2"/>
  <c r="Y65" i="2"/>
  <c r="X65" i="2"/>
  <c r="W65" i="2"/>
  <c r="U65" i="2"/>
  <c r="T65" i="2"/>
  <c r="S65" i="2"/>
  <c r="R65" i="2"/>
  <c r="Q65" i="2"/>
  <c r="M65" i="2"/>
  <c r="L65" i="2"/>
  <c r="N65" i="2" s="1"/>
  <c r="O65" i="2" s="1"/>
  <c r="K65" i="2"/>
  <c r="J65" i="2"/>
  <c r="H65" i="2"/>
  <c r="G65" i="2"/>
  <c r="F65" i="2"/>
  <c r="CE63" i="2"/>
  <c r="CE65" i="2" s="1"/>
  <c r="CD63" i="2"/>
  <c r="BZ63" i="2"/>
  <c r="BZ65" i="2" s="1"/>
  <c r="BY63" i="2"/>
  <c r="BY65" i="2" s="1"/>
  <c r="BX63" i="2"/>
  <c r="BX65" i="2" s="1"/>
  <c r="BU63" i="2"/>
  <c r="BS63" i="2"/>
  <c r="BS65" i="2" s="1"/>
  <c r="BR63" i="2"/>
  <c r="BQ63" i="2"/>
  <c r="BP63" i="2"/>
  <c r="BM63" i="2"/>
  <c r="BM65" i="2" s="1"/>
  <c r="BE63" i="2"/>
  <c r="BD63" i="2"/>
  <c r="AZ63" i="2"/>
  <c r="BA63" i="2" s="1"/>
  <c r="AV63" i="2"/>
  <c r="AT63" i="2"/>
  <c r="AS63" i="2"/>
  <c r="AP63" i="2"/>
  <c r="AQ63" i="2" s="1"/>
  <c r="AN63" i="2"/>
  <c r="AM63" i="2"/>
  <c r="AK63" i="2"/>
  <c r="AL63" i="2" s="1"/>
  <c r="AH63" i="2"/>
  <c r="AH65" i="2" s="1"/>
  <c r="AG63" i="2"/>
  <c r="AE63" i="2"/>
  <c r="AD63" i="2"/>
  <c r="AD65" i="2" s="1"/>
  <c r="AC63" i="2"/>
  <c r="AB63" i="2"/>
  <c r="V63" i="2"/>
  <c r="V65" i="2" s="1"/>
  <c r="U63" i="2"/>
  <c r="N63" i="2"/>
  <c r="CF60" i="2"/>
  <c r="CA60" i="2"/>
  <c r="BO60" i="2"/>
  <c r="BN60" i="2"/>
  <c r="BL60" i="2"/>
  <c r="BK60" i="2"/>
  <c r="BJ60" i="2"/>
  <c r="BI60" i="2"/>
  <c r="BH60" i="2"/>
  <c r="BG60" i="2"/>
  <c r="BF60" i="2"/>
  <c r="BC60" i="2"/>
  <c r="AY60" i="2"/>
  <c r="AU60" i="2"/>
  <c r="AR60" i="2"/>
  <c r="AJ60" i="2"/>
  <c r="AI60" i="2"/>
  <c r="AA60" i="2"/>
  <c r="AS60" i="2" s="1"/>
  <c r="AT60" i="2" s="1"/>
  <c r="Z60" i="2"/>
  <c r="X60" i="2"/>
  <c r="W60" i="2"/>
  <c r="T60" i="2"/>
  <c r="S60" i="2"/>
  <c r="R60" i="2"/>
  <c r="Q60" i="2"/>
  <c r="M60" i="2"/>
  <c r="N60" i="2" s="1"/>
  <c r="O60" i="2" s="1"/>
  <c r="L60" i="2"/>
  <c r="J60" i="2"/>
  <c r="I60" i="2"/>
  <c r="H60" i="2"/>
  <c r="G60" i="2"/>
  <c r="F60" i="2"/>
  <c r="E60" i="2"/>
  <c r="D60" i="2"/>
  <c r="CC58" i="2"/>
  <c r="CE58" i="2" s="1"/>
  <c r="BZ58" i="2"/>
  <c r="BY58" i="2"/>
  <c r="BP58" i="2"/>
  <c r="BQ58" i="2" s="1"/>
  <c r="BO58" i="2"/>
  <c r="BR58" i="2" s="1"/>
  <c r="BM58" i="2"/>
  <c r="BD58" i="2"/>
  <c r="BE58" i="2" s="1"/>
  <c r="BB58" i="2"/>
  <c r="AZ58" i="2"/>
  <c r="BA58" i="2" s="1"/>
  <c r="AX58" i="2"/>
  <c r="AW58" i="2"/>
  <c r="AV58" i="2"/>
  <c r="AS58" i="2"/>
  <c r="AT58" i="2" s="1"/>
  <c r="AQ58" i="2"/>
  <c r="AP58" i="2"/>
  <c r="AM58" i="2"/>
  <c r="AN58" i="2" s="1"/>
  <c r="AL58" i="2"/>
  <c r="AK58" i="2"/>
  <c r="AG58" i="2"/>
  <c r="AH58" i="2" s="1"/>
  <c r="AF58" i="2"/>
  <c r="AE58" i="2"/>
  <c r="AD58" i="2"/>
  <c r="AC58" i="2"/>
  <c r="AB58" i="2"/>
  <c r="U58" i="2"/>
  <c r="V58" i="2" s="1"/>
  <c r="O58" i="2"/>
  <c r="N58" i="2"/>
  <c r="CE57" i="2"/>
  <c r="CC57" i="2"/>
  <c r="BY57" i="2"/>
  <c r="BX57" i="2"/>
  <c r="BR57" i="2"/>
  <c r="BQ57" i="2"/>
  <c r="BP57" i="2"/>
  <c r="BD57" i="2"/>
  <c r="BE57" i="2" s="1"/>
  <c r="BB57" i="2"/>
  <c r="BA57" i="2"/>
  <c r="AZ57" i="2"/>
  <c r="AW57" i="2"/>
  <c r="AX57" i="2" s="1"/>
  <c r="AV57" i="2"/>
  <c r="AS57" i="2"/>
  <c r="AT57" i="2" s="1"/>
  <c r="AQ57" i="2"/>
  <c r="AP57" i="2"/>
  <c r="AM57" i="2"/>
  <c r="AN57" i="2" s="1"/>
  <c r="AL57" i="2"/>
  <c r="AK57" i="2"/>
  <c r="AG57" i="2"/>
  <c r="AH57" i="2" s="1"/>
  <c r="AF57" i="2"/>
  <c r="AE57" i="2"/>
  <c r="AC57" i="2"/>
  <c r="AB57" i="2"/>
  <c r="AD57" i="2" s="1"/>
  <c r="Y57" i="2"/>
  <c r="Y60" i="2" s="1"/>
  <c r="U57" i="2"/>
  <c r="V57" i="2" s="1"/>
  <c r="O57" i="2"/>
  <c r="N57" i="2"/>
  <c r="K57" i="2"/>
  <c r="CE56" i="2"/>
  <c r="CD56" i="2"/>
  <c r="CC56" i="2"/>
  <c r="BZ56" i="2"/>
  <c r="BY56" i="2"/>
  <c r="BV56" i="2"/>
  <c r="BU56" i="2"/>
  <c r="BS56" i="2"/>
  <c r="BR56" i="2"/>
  <c r="BQ56" i="2"/>
  <c r="BP56" i="2"/>
  <c r="BM56" i="2"/>
  <c r="BE56" i="2"/>
  <c r="BD56" i="2"/>
  <c r="BA56" i="2"/>
  <c r="AZ56" i="2"/>
  <c r="AV56" i="2"/>
  <c r="AT56" i="2"/>
  <c r="AS56" i="2"/>
  <c r="AP56" i="2"/>
  <c r="AQ56" i="2" s="1"/>
  <c r="AN56" i="2"/>
  <c r="AM56" i="2"/>
  <c r="AK56" i="2"/>
  <c r="AL56" i="2" s="1"/>
  <c r="AH56" i="2"/>
  <c r="AG56" i="2"/>
  <c r="AE56" i="2"/>
  <c r="AF56" i="2" s="1"/>
  <c r="AD56" i="2"/>
  <c r="AC56" i="2"/>
  <c r="AB56" i="2"/>
  <c r="V56" i="2"/>
  <c r="U56" i="2"/>
  <c r="O56" i="2"/>
  <c r="N56" i="2"/>
  <c r="CC55" i="2"/>
  <c r="BY55" i="2"/>
  <c r="BU55" i="2"/>
  <c r="BR55" i="2"/>
  <c r="BQ55" i="2"/>
  <c r="BP55" i="2"/>
  <c r="BD55" i="2"/>
  <c r="BE55" i="2" s="1"/>
  <c r="BB55" i="2"/>
  <c r="BA55" i="2"/>
  <c r="AZ55" i="2"/>
  <c r="AW55" i="2"/>
  <c r="AX55" i="2" s="1"/>
  <c r="AT55" i="2"/>
  <c r="AS55" i="2"/>
  <c r="AP55" i="2"/>
  <c r="AQ55" i="2" s="1"/>
  <c r="AN55" i="2"/>
  <c r="AM55" i="2"/>
  <c r="AK55" i="2"/>
  <c r="AL55" i="2" s="1"/>
  <c r="AH55" i="2"/>
  <c r="AG55" i="2"/>
  <c r="AE55" i="2"/>
  <c r="AF55" i="2" s="1"/>
  <c r="AC55" i="2"/>
  <c r="AB55" i="2"/>
  <c r="AD55" i="2" s="1"/>
  <c r="V55" i="2"/>
  <c r="U55" i="2"/>
  <c r="N55" i="2"/>
  <c r="O55" i="2" s="1"/>
  <c r="CC54" i="2"/>
  <c r="BY54" i="2"/>
  <c r="BX54" i="2"/>
  <c r="BR54" i="2"/>
  <c r="BQ54" i="2"/>
  <c r="BP54" i="2"/>
  <c r="BE54" i="2"/>
  <c r="BD54" i="2"/>
  <c r="BB54" i="2"/>
  <c r="AZ54" i="2"/>
  <c r="BA54" i="2" s="1"/>
  <c r="AX54" i="2"/>
  <c r="AW54" i="2"/>
  <c r="AV54" i="2"/>
  <c r="AT54" i="2"/>
  <c r="AS54" i="2"/>
  <c r="AQ54" i="2"/>
  <c r="AP54" i="2"/>
  <c r="AN54" i="2"/>
  <c r="AM54" i="2"/>
  <c r="AL54" i="2"/>
  <c r="AK54" i="2"/>
  <c r="AH54" i="2"/>
  <c r="AG54" i="2"/>
  <c r="AF54" i="2"/>
  <c r="AE54" i="2"/>
  <c r="AD54" i="2"/>
  <c r="AC54" i="2"/>
  <c r="AB54" i="2"/>
  <c r="U54" i="2"/>
  <c r="V54" i="2" s="1"/>
  <c r="O54" i="2"/>
  <c r="N54" i="2"/>
  <c r="CC53" i="2"/>
  <c r="BY53" i="2"/>
  <c r="BX53" i="2"/>
  <c r="BU53" i="2"/>
  <c r="BU60" i="2" s="1"/>
  <c r="BR53" i="2"/>
  <c r="BP53" i="2"/>
  <c r="BQ53" i="2" s="1"/>
  <c r="BD53" i="2"/>
  <c r="BE53" i="2" s="1"/>
  <c r="BA53" i="2"/>
  <c r="AZ53" i="2"/>
  <c r="AV53" i="2"/>
  <c r="BB53" i="2" s="1"/>
  <c r="AS53" i="2"/>
  <c r="AT53" i="2" s="1"/>
  <c r="AQ53" i="2"/>
  <c r="AP53" i="2"/>
  <c r="AM53" i="2"/>
  <c r="AN53" i="2" s="1"/>
  <c r="AL53" i="2"/>
  <c r="AK53" i="2"/>
  <c r="AG53" i="2"/>
  <c r="AH53" i="2" s="1"/>
  <c r="AE53" i="2"/>
  <c r="AF53" i="2" s="1"/>
  <c r="AC53" i="2"/>
  <c r="AB53" i="2"/>
  <c r="AD53" i="2" s="1"/>
  <c r="V53" i="2"/>
  <c r="U53" i="2"/>
  <c r="O53" i="2"/>
  <c r="N53" i="2"/>
  <c r="CC52" i="2"/>
  <c r="BY52" i="2"/>
  <c r="BR52" i="2"/>
  <c r="BQ52" i="2"/>
  <c r="BP52" i="2"/>
  <c r="BF52" i="2"/>
  <c r="BD52" i="2"/>
  <c r="BE52" i="2" s="1"/>
  <c r="BA52" i="2"/>
  <c r="AZ52" i="2"/>
  <c r="AV52" i="2"/>
  <c r="AT52" i="2"/>
  <c r="AS52" i="2"/>
  <c r="AP52" i="2"/>
  <c r="AQ52" i="2" s="1"/>
  <c r="AM52" i="2"/>
  <c r="AN52" i="2" s="1"/>
  <c r="AK52" i="2"/>
  <c r="AL52" i="2" s="1"/>
  <c r="AG52" i="2"/>
  <c r="AH52" i="2" s="1"/>
  <c r="AE52" i="2"/>
  <c r="AF52" i="2" s="1"/>
  <c r="AD52" i="2"/>
  <c r="AC52" i="2"/>
  <c r="AB52" i="2"/>
  <c r="V52" i="2"/>
  <c r="U52" i="2"/>
  <c r="O52" i="2"/>
  <c r="N52" i="2"/>
  <c r="CE51" i="2"/>
  <c r="CC51" i="2"/>
  <c r="CA51" i="2"/>
  <c r="BZ51" i="2"/>
  <c r="BY51" i="2"/>
  <c r="BV51" i="2"/>
  <c r="BV60" i="2" s="1"/>
  <c r="BS51" i="2"/>
  <c r="BR51" i="2"/>
  <c r="BQ51" i="2"/>
  <c r="BP51" i="2"/>
  <c r="BD51" i="2"/>
  <c r="BE51" i="2" s="1"/>
  <c r="BB51" i="2"/>
  <c r="BA51" i="2"/>
  <c r="AZ51" i="2"/>
  <c r="AW51" i="2"/>
  <c r="AX51" i="2" s="1"/>
  <c r="AV51" i="2"/>
  <c r="AS51" i="2"/>
  <c r="AT51" i="2" s="1"/>
  <c r="AP51" i="2"/>
  <c r="AQ51" i="2" s="1"/>
  <c r="AM51" i="2"/>
  <c r="AN51" i="2" s="1"/>
  <c r="AK51" i="2"/>
  <c r="AL51" i="2" s="1"/>
  <c r="AG51" i="2"/>
  <c r="AH51" i="2" s="1"/>
  <c r="AF51" i="2"/>
  <c r="AE51" i="2"/>
  <c r="AC51" i="2"/>
  <c r="AB51" i="2"/>
  <c r="AD51" i="2" s="1"/>
  <c r="V51" i="2"/>
  <c r="U51" i="2"/>
  <c r="N51" i="2"/>
  <c r="O51" i="2" s="1"/>
  <c r="K51" i="2"/>
  <c r="CD50" i="2"/>
  <c r="CC50" i="2"/>
  <c r="CE50" i="2" s="1"/>
  <c r="BZ50" i="2"/>
  <c r="BY50" i="2"/>
  <c r="BS50" i="2"/>
  <c r="BS60" i="2" s="1"/>
  <c r="BR50" i="2"/>
  <c r="BP50" i="2"/>
  <c r="BQ50" i="2" s="1"/>
  <c r="BM50" i="2"/>
  <c r="BE50" i="2"/>
  <c r="BD50" i="2"/>
  <c r="BB50" i="2"/>
  <c r="AZ50" i="2"/>
  <c r="BA50" i="2" s="1"/>
  <c r="AW50" i="2"/>
  <c r="AX50" i="2" s="1"/>
  <c r="AT50" i="2"/>
  <c r="AS50" i="2"/>
  <c r="AP50" i="2"/>
  <c r="AQ50" i="2" s="1"/>
  <c r="AN50" i="2"/>
  <c r="AM50" i="2"/>
  <c r="AK50" i="2"/>
  <c r="AL50" i="2" s="1"/>
  <c r="AG50" i="2"/>
  <c r="AH50" i="2" s="1"/>
  <c r="AE50" i="2"/>
  <c r="AF50" i="2" s="1"/>
  <c r="AD50" i="2"/>
  <c r="AC50" i="2"/>
  <c r="AB50" i="2"/>
  <c r="V50" i="2"/>
  <c r="U50" i="2"/>
  <c r="O50" i="2"/>
  <c r="N50" i="2"/>
  <c r="CC49" i="2"/>
  <c r="BY49" i="2"/>
  <c r="BR49" i="2"/>
  <c r="BQ49" i="2"/>
  <c r="BP49" i="2"/>
  <c r="BE49" i="2"/>
  <c r="BD49" i="2"/>
  <c r="AZ49" i="2"/>
  <c r="BA49" i="2" s="1"/>
  <c r="AW49" i="2"/>
  <c r="AX49" i="2" s="1"/>
  <c r="AV49" i="2"/>
  <c r="BB49" i="2" s="1"/>
  <c r="AT49" i="2"/>
  <c r="AS49" i="2"/>
  <c r="AQ49" i="2"/>
  <c r="AP49" i="2"/>
  <c r="AN49" i="2"/>
  <c r="AM49" i="2"/>
  <c r="AL49" i="2"/>
  <c r="AK49" i="2"/>
  <c r="AH49" i="2"/>
  <c r="AG49" i="2"/>
  <c r="AF49" i="2"/>
  <c r="AE49" i="2"/>
  <c r="AC49" i="2"/>
  <c r="AB49" i="2"/>
  <c r="AD49" i="2" s="1"/>
  <c r="V49" i="2"/>
  <c r="U49" i="2"/>
  <c r="N49" i="2"/>
  <c r="O49" i="2" s="1"/>
  <c r="CE48" i="2"/>
  <c r="CC48" i="2"/>
  <c r="BY48" i="2"/>
  <c r="BR48" i="2"/>
  <c r="BP48" i="2"/>
  <c r="BD48" i="2"/>
  <c r="BE48" i="2" s="1"/>
  <c r="BA48" i="2"/>
  <c r="AV48" i="2"/>
  <c r="AW48" i="2" s="1"/>
  <c r="AX48" i="2" s="1"/>
  <c r="AS48" i="2"/>
  <c r="AT48" i="2" s="1"/>
  <c r="AQ48" i="2"/>
  <c r="AP48" i="2"/>
  <c r="AO48" i="2"/>
  <c r="AZ48" i="2" s="1"/>
  <c r="AN48" i="2"/>
  <c r="AM48" i="2"/>
  <c r="AL48" i="2"/>
  <c r="AK48" i="2"/>
  <c r="AH48" i="2"/>
  <c r="AG48" i="2"/>
  <c r="AF48" i="2"/>
  <c r="AE48" i="2"/>
  <c r="AD48" i="2"/>
  <c r="AC48" i="2"/>
  <c r="AB48" i="2"/>
  <c r="Y48" i="2"/>
  <c r="V48" i="2"/>
  <c r="U48" i="2"/>
  <c r="O48" i="2"/>
  <c r="N48" i="2"/>
  <c r="K48" i="2"/>
  <c r="CD47" i="2"/>
  <c r="CC47" i="2"/>
  <c r="CE47" i="2" s="1"/>
  <c r="BZ47" i="2"/>
  <c r="BY47" i="2"/>
  <c r="BR47" i="2"/>
  <c r="BQ47" i="2"/>
  <c r="BP47" i="2"/>
  <c r="BM47" i="2"/>
  <c r="BM60" i="2" s="1"/>
  <c r="BD47" i="2"/>
  <c r="BE47" i="2" s="1"/>
  <c r="BB47" i="2"/>
  <c r="BA47" i="2"/>
  <c r="AZ47" i="2"/>
  <c r="AW47" i="2"/>
  <c r="AX47" i="2" s="1"/>
  <c r="AV47" i="2"/>
  <c r="AS47" i="2"/>
  <c r="AT47" i="2" s="1"/>
  <c r="AP47" i="2"/>
  <c r="AQ47" i="2" s="1"/>
  <c r="AM47" i="2"/>
  <c r="AN47" i="2" s="1"/>
  <c r="AK47" i="2"/>
  <c r="AL47" i="2" s="1"/>
  <c r="AG47" i="2"/>
  <c r="AH47" i="2" s="1"/>
  <c r="AF47" i="2"/>
  <c r="AE47" i="2"/>
  <c r="AC47" i="2"/>
  <c r="AB47" i="2"/>
  <c r="AD47" i="2" s="1"/>
  <c r="V47" i="2"/>
  <c r="U47" i="2"/>
  <c r="N47" i="2"/>
  <c r="O47" i="2" s="1"/>
  <c r="CC46" i="2"/>
  <c r="CE46" i="2" s="1"/>
  <c r="BY46" i="2"/>
  <c r="BR46" i="2"/>
  <c r="BP46" i="2"/>
  <c r="BQ46" i="2" s="1"/>
  <c r="BD46" i="2"/>
  <c r="BB46" i="2"/>
  <c r="AZ46" i="2"/>
  <c r="BA46" i="2" s="1"/>
  <c r="AX46" i="2"/>
  <c r="AW46" i="2"/>
  <c r="AV46" i="2"/>
  <c r="AT46" i="2"/>
  <c r="AS46" i="2"/>
  <c r="AQ46" i="2"/>
  <c r="AP46" i="2"/>
  <c r="AN46" i="2"/>
  <c r="AM46" i="2"/>
  <c r="AL46" i="2"/>
  <c r="AK46" i="2"/>
  <c r="AH46" i="2"/>
  <c r="AG46" i="2"/>
  <c r="AF46" i="2"/>
  <c r="AE46" i="2"/>
  <c r="AD46" i="2"/>
  <c r="AC46" i="2"/>
  <c r="AB46" i="2"/>
  <c r="Y46" i="2"/>
  <c r="V46" i="2"/>
  <c r="U46" i="2"/>
  <c r="O46" i="2"/>
  <c r="N46" i="2"/>
  <c r="CC45" i="2"/>
  <c r="BZ45" i="2"/>
  <c r="BY45" i="2"/>
  <c r="BX45" i="2"/>
  <c r="BX60" i="2" s="1"/>
  <c r="BR45" i="2"/>
  <c r="BQ45" i="2"/>
  <c r="BP45" i="2"/>
  <c r="BE45" i="2"/>
  <c r="BD45" i="2"/>
  <c r="BB45" i="2"/>
  <c r="AZ45" i="2"/>
  <c r="BA45" i="2" s="1"/>
  <c r="AX45" i="2"/>
  <c r="AW45" i="2"/>
  <c r="AV45" i="2"/>
  <c r="AS45" i="2"/>
  <c r="AT45" i="2" s="1"/>
  <c r="AQ45" i="2"/>
  <c r="AP45" i="2"/>
  <c r="AM45" i="2"/>
  <c r="AN45" i="2" s="1"/>
  <c r="AL45" i="2"/>
  <c r="AK45" i="2"/>
  <c r="AG45" i="2"/>
  <c r="AH45" i="2" s="1"/>
  <c r="AF45" i="2"/>
  <c r="AE45" i="2"/>
  <c r="AD45" i="2"/>
  <c r="AC45" i="2"/>
  <c r="AB45" i="2"/>
  <c r="U45" i="2"/>
  <c r="V45" i="2" s="1"/>
  <c r="N45" i="2"/>
  <c r="O45" i="2" s="1"/>
  <c r="CD44" i="2"/>
  <c r="CC44" i="2"/>
  <c r="CE44" i="2" s="1"/>
  <c r="BZ44" i="2"/>
  <c r="BY44" i="2"/>
  <c r="BS44" i="2"/>
  <c r="BR44" i="2"/>
  <c r="BP44" i="2"/>
  <c r="BQ44" i="2" s="1"/>
  <c r="BE44" i="2"/>
  <c r="BD44" i="2"/>
  <c r="AZ44" i="2"/>
  <c r="BA44" i="2" s="1"/>
  <c r="AV44" i="2"/>
  <c r="AS44" i="2"/>
  <c r="AT44" i="2" s="1"/>
  <c r="AP44" i="2"/>
  <c r="AQ44" i="2" s="1"/>
  <c r="AM44" i="2"/>
  <c r="AN44" i="2" s="1"/>
  <c r="AK44" i="2"/>
  <c r="AL44" i="2" s="1"/>
  <c r="AH44" i="2"/>
  <c r="AG44" i="2"/>
  <c r="AE44" i="2"/>
  <c r="AF44" i="2" s="1"/>
  <c r="AD44" i="2"/>
  <c r="AC44" i="2"/>
  <c r="AB44" i="2"/>
  <c r="U44" i="2"/>
  <c r="V44" i="2" s="1"/>
  <c r="O44" i="2"/>
  <c r="N44" i="2"/>
  <c r="CE43" i="2"/>
  <c r="CD43" i="2"/>
  <c r="CC43" i="2"/>
  <c r="BY43" i="2"/>
  <c r="BX43" i="2"/>
  <c r="BR43" i="2"/>
  <c r="BP43" i="2"/>
  <c r="BQ43" i="2" s="1"/>
  <c r="BD43" i="2"/>
  <c r="BE43" i="2" s="1"/>
  <c r="BA43" i="2"/>
  <c r="AZ43" i="2"/>
  <c r="AV43" i="2"/>
  <c r="AT43" i="2"/>
  <c r="AS43" i="2"/>
  <c r="AP43" i="2"/>
  <c r="AQ43" i="2" s="1"/>
  <c r="AN43" i="2"/>
  <c r="AM43" i="2"/>
  <c r="AK43" i="2"/>
  <c r="AL43" i="2" s="1"/>
  <c r="AG43" i="2"/>
  <c r="AH43" i="2" s="1"/>
  <c r="AE43" i="2"/>
  <c r="AF43" i="2" s="1"/>
  <c r="AD43" i="2"/>
  <c r="AC43" i="2"/>
  <c r="AB43" i="2"/>
  <c r="V43" i="2"/>
  <c r="U43" i="2"/>
  <c r="O43" i="2"/>
  <c r="N43" i="2"/>
  <c r="K43" i="2"/>
  <c r="CE42" i="2"/>
  <c r="CD42" i="2"/>
  <c r="CC42" i="2"/>
  <c r="BZ42" i="2"/>
  <c r="BY42" i="2"/>
  <c r="BR42" i="2"/>
  <c r="BQ42" i="2"/>
  <c r="BP42" i="2"/>
  <c r="BE42" i="2"/>
  <c r="BD42" i="2"/>
  <c r="AZ42" i="2"/>
  <c r="BA42" i="2" s="1"/>
  <c r="AW42" i="2"/>
  <c r="AX42" i="2" s="1"/>
  <c r="AV42" i="2"/>
  <c r="BB42" i="2" s="1"/>
  <c r="AT42" i="2"/>
  <c r="AS42" i="2"/>
  <c r="AQ42" i="2"/>
  <c r="AP42" i="2"/>
  <c r="AN42" i="2"/>
  <c r="AM42" i="2"/>
  <c r="AL42" i="2"/>
  <c r="AK42" i="2"/>
  <c r="AH42" i="2"/>
  <c r="AG42" i="2"/>
  <c r="AF42" i="2"/>
  <c r="AE42" i="2"/>
  <c r="AC42" i="2"/>
  <c r="AB42" i="2"/>
  <c r="AD42" i="2" s="1"/>
  <c r="V42" i="2"/>
  <c r="U42" i="2"/>
  <c r="N42" i="2"/>
  <c r="O42" i="2" s="1"/>
  <c r="K42" i="2"/>
  <c r="CC41" i="2"/>
  <c r="CE41" i="2" s="1"/>
  <c r="BY41" i="2"/>
  <c r="BR41" i="2"/>
  <c r="BP41" i="2"/>
  <c r="BQ41" i="2" s="1"/>
  <c r="BF41" i="2"/>
  <c r="BE41" i="2"/>
  <c r="BD41" i="2"/>
  <c r="AZ41" i="2"/>
  <c r="BA41" i="2" s="1"/>
  <c r="AW41" i="2"/>
  <c r="AX41" i="2" s="1"/>
  <c r="AV41" i="2"/>
  <c r="BB41" i="2" s="1"/>
  <c r="AT41" i="2"/>
  <c r="AS41" i="2"/>
  <c r="AQ41" i="2"/>
  <c r="AP41" i="2"/>
  <c r="AO41" i="2"/>
  <c r="AM41" i="2"/>
  <c r="AN41" i="2" s="1"/>
  <c r="AL41" i="2"/>
  <c r="AK41" i="2"/>
  <c r="AG41" i="2"/>
  <c r="AH41" i="2" s="1"/>
  <c r="AE41" i="2"/>
  <c r="AF41" i="2" s="1"/>
  <c r="AC41" i="2"/>
  <c r="AB41" i="2"/>
  <c r="AD41" i="2" s="1"/>
  <c r="V41" i="2"/>
  <c r="U41" i="2"/>
  <c r="O41" i="2"/>
  <c r="N41" i="2"/>
  <c r="K41" i="2"/>
  <c r="CD40" i="2"/>
  <c r="CD60" i="2" s="1"/>
  <c r="CC40" i="2"/>
  <c r="CB40" i="2"/>
  <c r="CB60" i="2" s="1"/>
  <c r="BX40" i="2"/>
  <c r="BW40" i="2"/>
  <c r="BT40" i="2"/>
  <c r="BT60" i="2" s="1"/>
  <c r="BR40" i="2"/>
  <c r="BP40" i="2"/>
  <c r="BQ40" i="2" s="1"/>
  <c r="BE40" i="2"/>
  <c r="BD40" i="2"/>
  <c r="BA40" i="2"/>
  <c r="AZ40" i="2"/>
  <c r="AV40" i="2"/>
  <c r="BB40" i="2" s="1"/>
  <c r="AT40" i="2"/>
  <c r="AS40" i="2"/>
  <c r="AP40" i="2"/>
  <c r="AQ40" i="2" s="1"/>
  <c r="AN40" i="2"/>
  <c r="AM40" i="2"/>
  <c r="AK40" i="2"/>
  <c r="AL40" i="2" s="1"/>
  <c r="AH40" i="2"/>
  <c r="AG40" i="2"/>
  <c r="AE40" i="2"/>
  <c r="AF40" i="2" s="1"/>
  <c r="AD40" i="2"/>
  <c r="AC40" i="2"/>
  <c r="AB40" i="2"/>
  <c r="U40" i="2"/>
  <c r="V40" i="2" s="1"/>
  <c r="N40" i="2"/>
  <c r="O40" i="2" s="1"/>
  <c r="CE39" i="2"/>
  <c r="CC39" i="2"/>
  <c r="BY39" i="2"/>
  <c r="BR39" i="2"/>
  <c r="BP39" i="2"/>
  <c r="BF39" i="2"/>
  <c r="BD39" i="2"/>
  <c r="BA39" i="2"/>
  <c r="AZ39" i="2"/>
  <c r="AV39" i="2"/>
  <c r="BB39" i="2" s="1"/>
  <c r="AS39" i="2"/>
  <c r="AP39" i="2"/>
  <c r="AM39" i="2"/>
  <c r="AK39" i="2"/>
  <c r="AG39" i="2"/>
  <c r="AH39" i="2" s="1"/>
  <c r="AF39" i="2"/>
  <c r="AE39" i="2"/>
  <c r="AB39" i="2"/>
  <c r="AD39" i="2" s="1"/>
  <c r="CD38" i="2"/>
  <c r="CC38" i="2"/>
  <c r="CE38" i="2" s="1"/>
  <c r="BY38" i="2"/>
  <c r="BR38" i="2"/>
  <c r="BP38" i="2"/>
  <c r="BQ38" i="2" s="1"/>
  <c r="BD38" i="2"/>
  <c r="BE38" i="2" s="1"/>
  <c r="AV38" i="2"/>
  <c r="AT38" i="2"/>
  <c r="AS38" i="2"/>
  <c r="AO38" i="2"/>
  <c r="AN38" i="2"/>
  <c r="AM38" i="2"/>
  <c r="AK38" i="2"/>
  <c r="AL38" i="2" s="1"/>
  <c r="AH38" i="2"/>
  <c r="AG38" i="2"/>
  <c r="AE38" i="2"/>
  <c r="AF38" i="2" s="1"/>
  <c r="AC38" i="2"/>
  <c r="AB38" i="2"/>
  <c r="AD38" i="2" s="1"/>
  <c r="V38" i="2"/>
  <c r="U38" i="2"/>
  <c r="N38" i="2"/>
  <c r="O38" i="2" s="1"/>
  <c r="K38" i="2"/>
  <c r="CC37" i="2"/>
  <c r="BY37" i="2"/>
  <c r="BR37" i="2"/>
  <c r="BP37" i="2"/>
  <c r="BQ37" i="2" s="1"/>
  <c r="BE37" i="2"/>
  <c r="BD37" i="2"/>
  <c r="AZ37" i="2"/>
  <c r="BA37" i="2" s="1"/>
  <c r="AV37" i="2"/>
  <c r="AS37" i="2"/>
  <c r="AT37" i="2" s="1"/>
  <c r="AP37" i="2"/>
  <c r="AQ37" i="2" s="1"/>
  <c r="AM37" i="2"/>
  <c r="AN37" i="2" s="1"/>
  <c r="AK37" i="2"/>
  <c r="AL37" i="2" s="1"/>
  <c r="AH37" i="2"/>
  <c r="AG37" i="2"/>
  <c r="AE37" i="2"/>
  <c r="AF37" i="2" s="1"/>
  <c r="AD37" i="2"/>
  <c r="AD60" i="2" s="1"/>
  <c r="AC37" i="2"/>
  <c r="AB37" i="2"/>
  <c r="U37" i="2"/>
  <c r="O37" i="2"/>
  <c r="N37" i="2"/>
  <c r="K37" i="2"/>
  <c r="CF34" i="2"/>
  <c r="CB34" i="2"/>
  <c r="BW34" i="2"/>
  <c r="BT34" i="2"/>
  <c r="BO34" i="2"/>
  <c r="BL34" i="2"/>
  <c r="BJ34" i="2"/>
  <c r="BI34" i="2"/>
  <c r="BH34" i="2"/>
  <c r="BG34" i="2"/>
  <c r="BD34" i="2"/>
  <c r="BE34" i="2" s="1"/>
  <c r="BC34" i="2"/>
  <c r="AY34" i="2"/>
  <c r="AU34" i="2"/>
  <c r="AS34" i="2"/>
  <c r="AT34" i="2" s="1"/>
  <c r="AR34" i="2"/>
  <c r="AM34" i="2"/>
  <c r="AN34" i="2" s="1"/>
  <c r="AJ34" i="2"/>
  <c r="AI34" i="2"/>
  <c r="AK34" i="2" s="1"/>
  <c r="AL34" i="2" s="1"/>
  <c r="AC34" i="2"/>
  <c r="AA34" i="2"/>
  <c r="Z34" i="2"/>
  <c r="Y34" i="2"/>
  <c r="X34" i="2"/>
  <c r="W34" i="2"/>
  <c r="T34" i="2"/>
  <c r="S34" i="2"/>
  <c r="R34" i="2"/>
  <c r="Q34" i="2"/>
  <c r="M34" i="2"/>
  <c r="J34" i="2"/>
  <c r="H34" i="2"/>
  <c r="G34" i="2"/>
  <c r="I34" i="2" s="1"/>
  <c r="F34" i="2"/>
  <c r="E34" i="2"/>
  <c r="D34" i="2"/>
  <c r="CC31" i="2"/>
  <c r="CE31" i="2" s="1"/>
  <c r="BY31" i="2"/>
  <c r="BQ31" i="2"/>
  <c r="BP31" i="2"/>
  <c r="BE31" i="2"/>
  <c r="BD31" i="2"/>
  <c r="AZ31" i="2"/>
  <c r="BA31" i="2" s="1"/>
  <c r="AW31" i="2"/>
  <c r="AX31" i="2" s="1"/>
  <c r="AV31" i="2"/>
  <c r="BB31" i="2" s="1"/>
  <c r="AT31" i="2"/>
  <c r="AS31" i="2"/>
  <c r="AQ31" i="2"/>
  <c r="AP31" i="2"/>
  <c r="AN31" i="2"/>
  <c r="AM31" i="2"/>
  <c r="AL31" i="2"/>
  <c r="AK31" i="2"/>
  <c r="AH31" i="2"/>
  <c r="AG31" i="2"/>
  <c r="AF31" i="2"/>
  <c r="AE31" i="2"/>
  <c r="AC31" i="2"/>
  <c r="AB31" i="2"/>
  <c r="AD31" i="2" s="1"/>
  <c r="Y31" i="2"/>
  <c r="V31" i="2"/>
  <c r="U31" i="2"/>
  <c r="O31" i="2"/>
  <c r="N31" i="2"/>
  <c r="K31" i="2"/>
  <c r="CC30" i="2"/>
  <c r="CE30" i="2" s="1"/>
  <c r="BY30" i="2"/>
  <c r="BR30" i="2"/>
  <c r="BP30" i="2"/>
  <c r="CE29" i="2"/>
  <c r="CC29" i="2"/>
  <c r="BY29" i="2"/>
  <c r="BR29" i="2"/>
  <c r="BQ29" i="2"/>
  <c r="BP29" i="2"/>
  <c r="BD29" i="2"/>
  <c r="BE29" i="2" s="1"/>
  <c r="BA29" i="2"/>
  <c r="AZ29" i="2"/>
  <c r="AW29" i="2"/>
  <c r="AX29" i="2" s="1"/>
  <c r="AV29" i="2"/>
  <c r="BB29" i="2" s="1"/>
  <c r="AS29" i="2"/>
  <c r="AT29" i="2" s="1"/>
  <c r="AP29" i="2"/>
  <c r="AQ29" i="2" s="1"/>
  <c r="AM29" i="2"/>
  <c r="AN29" i="2" s="1"/>
  <c r="AL29" i="2"/>
  <c r="AK29" i="2"/>
  <c r="AG29" i="2"/>
  <c r="AH29" i="2" s="1"/>
  <c r="AF29" i="2"/>
  <c r="AE29" i="2"/>
  <c r="AC29" i="2"/>
  <c r="AB29" i="2"/>
  <c r="AD29" i="2" s="1"/>
  <c r="V29" i="2"/>
  <c r="U29" i="2"/>
  <c r="N29" i="2"/>
  <c r="O29" i="2" s="1"/>
  <c r="K29" i="2"/>
  <c r="CE28" i="2"/>
  <c r="CC28" i="2"/>
  <c r="BY28" i="2"/>
  <c r="BR28" i="2"/>
  <c r="BQ28" i="2"/>
  <c r="BP28" i="2"/>
  <c r="BM28" i="2"/>
  <c r="BK28" i="2"/>
  <c r="BE28" i="2"/>
  <c r="BD28" i="2"/>
  <c r="BB28" i="2"/>
  <c r="AZ28" i="2"/>
  <c r="BA28" i="2" s="1"/>
  <c r="AV28" i="2"/>
  <c r="AW28" i="2" s="1"/>
  <c r="AX28" i="2" s="1"/>
  <c r="AT28" i="2"/>
  <c r="AS28" i="2"/>
  <c r="AP28" i="2"/>
  <c r="AQ28" i="2" s="1"/>
  <c r="AN28" i="2"/>
  <c r="AM28" i="2"/>
  <c r="AK28" i="2"/>
  <c r="AL28" i="2" s="1"/>
  <c r="AH28" i="2"/>
  <c r="AG28" i="2"/>
  <c r="AE28" i="2"/>
  <c r="AF28" i="2" s="1"/>
  <c r="AD28" i="2"/>
  <c r="AC28" i="2"/>
  <c r="Y28" i="2"/>
  <c r="AB28" i="2" s="1"/>
  <c r="V28" i="2"/>
  <c r="U28" i="2"/>
  <c r="L28" i="2"/>
  <c r="CE27" i="2"/>
  <c r="CC27" i="2"/>
  <c r="CA27" i="2"/>
  <c r="CA34" i="2" s="1"/>
  <c r="BV27" i="2"/>
  <c r="BV34" i="2" s="1"/>
  <c r="BR27" i="2"/>
  <c r="BK27" i="2"/>
  <c r="BE27" i="2"/>
  <c r="BD27" i="2"/>
  <c r="BA27" i="2"/>
  <c r="AZ27" i="2"/>
  <c r="AV27" i="2"/>
  <c r="AT27" i="2"/>
  <c r="AS27" i="2"/>
  <c r="AP27" i="2"/>
  <c r="AQ27" i="2" s="1"/>
  <c r="AN27" i="2"/>
  <c r="AM27" i="2"/>
  <c r="AK27" i="2"/>
  <c r="AL27" i="2" s="1"/>
  <c r="AH27" i="2"/>
  <c r="AG27" i="2"/>
  <c r="AE27" i="2"/>
  <c r="AF27" i="2" s="1"/>
  <c r="AC27" i="2"/>
  <c r="Y27" i="2"/>
  <c r="AB27" i="2" s="1"/>
  <c r="AD27" i="2" s="1"/>
  <c r="V27" i="2"/>
  <c r="U27" i="2"/>
  <c r="N27" i="2"/>
  <c r="O27" i="2" s="1"/>
  <c r="CE25" i="2"/>
  <c r="CC25" i="2"/>
  <c r="BY25" i="2"/>
  <c r="BR25" i="2"/>
  <c r="BQ25" i="2"/>
  <c r="BP25" i="2"/>
  <c r="BD25" i="2"/>
  <c r="BE25" i="2" s="1"/>
  <c r="AW25" i="2"/>
  <c r="AV25" i="2"/>
  <c r="BB25" i="2" s="1"/>
  <c r="AS25" i="2"/>
  <c r="AO25" i="2"/>
  <c r="AM25" i="2"/>
  <c r="AK25" i="2"/>
  <c r="AG25" i="2"/>
  <c r="AH25" i="2" s="1"/>
  <c r="AF25" i="2"/>
  <c r="AE25" i="2"/>
  <c r="AC25" i="2"/>
  <c r="AB25" i="2"/>
  <c r="AD25" i="2" s="1"/>
  <c r="Y25" i="2"/>
  <c r="U25" i="2"/>
  <c r="O25" i="2"/>
  <c r="N25" i="2"/>
  <c r="K25" i="2"/>
  <c r="CE24" i="2"/>
  <c r="CC24" i="2"/>
  <c r="BY24" i="2"/>
  <c r="BR24" i="2"/>
  <c r="BQ24" i="2"/>
  <c r="BP24" i="2"/>
  <c r="BE24" i="2"/>
  <c r="BD24" i="2"/>
  <c r="BA24" i="2"/>
  <c r="AZ24" i="2"/>
  <c r="AV24" i="2"/>
  <c r="BB24" i="2" s="1"/>
  <c r="AT24" i="2"/>
  <c r="AS24" i="2"/>
  <c r="AP24" i="2"/>
  <c r="AQ24" i="2" s="1"/>
  <c r="AN24" i="2"/>
  <c r="AM24" i="2"/>
  <c r="AK24" i="2"/>
  <c r="AL24" i="2" s="1"/>
  <c r="AH24" i="2"/>
  <c r="AG24" i="2"/>
  <c r="AE24" i="2"/>
  <c r="AF24" i="2" s="1"/>
  <c r="AC24" i="2"/>
  <c r="Y24" i="2"/>
  <c r="AB24" i="2" s="1"/>
  <c r="AD24" i="2" s="1"/>
  <c r="V24" i="2"/>
  <c r="U24" i="2"/>
  <c r="N24" i="2"/>
  <c r="O24" i="2" s="1"/>
  <c r="K24" i="2"/>
  <c r="CE23" i="2"/>
  <c r="CC23" i="2"/>
  <c r="BY23" i="2"/>
  <c r="BR23" i="2"/>
  <c r="BQ23" i="2"/>
  <c r="BP23" i="2"/>
  <c r="BF23" i="2"/>
  <c r="BD23" i="2"/>
  <c r="BE23" i="2" s="1"/>
  <c r="BB23" i="2"/>
  <c r="AW23" i="2"/>
  <c r="AX23" i="2" s="1"/>
  <c r="AV23" i="2"/>
  <c r="AS23" i="2"/>
  <c r="AT23" i="2" s="1"/>
  <c r="AQ23" i="2"/>
  <c r="AP23" i="2"/>
  <c r="AO23" i="2"/>
  <c r="AO34" i="2" s="1"/>
  <c r="AP34" i="2" s="1"/>
  <c r="AQ34" i="2" s="1"/>
  <c r="AN23" i="2"/>
  <c r="AM23" i="2"/>
  <c r="AL23" i="2"/>
  <c r="AK23" i="2"/>
  <c r="AH23" i="2"/>
  <c r="AG23" i="2"/>
  <c r="AF23" i="2"/>
  <c r="AE23" i="2"/>
  <c r="AD23" i="2"/>
  <c r="AC23" i="2"/>
  <c r="AB23" i="2"/>
  <c r="U23" i="2"/>
  <c r="V23" i="2" s="1"/>
  <c r="O23" i="2"/>
  <c r="N23" i="2"/>
  <c r="K23" i="2"/>
  <c r="B23" i="2"/>
  <c r="B24" i="2" s="1"/>
  <c r="B25" i="2" s="1"/>
  <c r="B27" i="2" s="1"/>
  <c r="B29" i="2" s="1"/>
  <c r="B31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63" i="2" s="1"/>
  <c r="B68" i="2" s="1"/>
  <c r="B69" i="2" s="1"/>
  <c r="B70" i="2" s="1"/>
  <c r="B71" i="2" s="1"/>
  <c r="B75" i="2" s="1"/>
  <c r="B77" i="2" s="1"/>
  <c r="B78" i="2" s="1"/>
  <c r="B82" i="2" s="1"/>
  <c r="B86" i="2" s="1"/>
  <c r="B87" i="2" s="1"/>
  <c r="B88" i="2" s="1"/>
  <c r="B89" i="2" s="1"/>
  <c r="B90" i="2" s="1"/>
  <c r="B91" i="2" s="1"/>
  <c r="B92" i="2" s="1"/>
  <c r="B99" i="2" s="1"/>
  <c r="B100" i="2" s="1"/>
  <c r="B101" i="2" s="1"/>
  <c r="B102" i="2" s="1"/>
  <c r="B103" i="2" s="1"/>
  <c r="B109" i="2" s="1"/>
  <c r="B110" i="2" s="1"/>
  <c r="B111" i="2" s="1"/>
  <c r="B113" i="2" s="1"/>
  <c r="B114" i="2" s="1"/>
  <c r="B115" i="2" s="1"/>
  <c r="B116" i="2" s="1"/>
  <c r="B117" i="2" s="1"/>
  <c r="B118" i="2" s="1"/>
  <c r="B119" i="2" s="1"/>
  <c r="B120" i="2" s="1"/>
  <c r="B121" i="2" s="1"/>
  <c r="B126" i="2" s="1"/>
  <c r="B127" i="2" s="1"/>
  <c r="B133" i="2" s="1"/>
  <c r="B138" i="2" s="1"/>
  <c r="B142" i="2" s="1"/>
  <c r="B143" i="2" s="1"/>
  <c r="B144" i="2" s="1"/>
  <c r="B145" i="2" s="1"/>
  <c r="B152" i="2" s="1"/>
  <c r="B155" i="2" s="1"/>
  <c r="CE22" i="2"/>
  <c r="CC22" i="2"/>
  <c r="BY22" i="2"/>
  <c r="BX22" i="2"/>
  <c r="BU22" i="2"/>
  <c r="BS22" i="2"/>
  <c r="BR22" i="2"/>
  <c r="BQ22" i="2"/>
  <c r="BP22" i="2"/>
  <c r="BE22" i="2"/>
  <c r="BD22" i="2"/>
  <c r="BA22" i="2"/>
  <c r="AZ22" i="2"/>
  <c r="AV22" i="2"/>
  <c r="AW22" i="2" s="1"/>
  <c r="AX22" i="2" s="1"/>
  <c r="AT22" i="2"/>
  <c r="AS22" i="2"/>
  <c r="AP22" i="2"/>
  <c r="AQ22" i="2" s="1"/>
  <c r="AN22" i="2"/>
  <c r="AM22" i="2"/>
  <c r="AK22" i="2"/>
  <c r="AL22" i="2" s="1"/>
  <c r="AH22" i="2"/>
  <c r="AG22" i="2"/>
  <c r="AE22" i="2"/>
  <c r="AF22" i="2" s="1"/>
  <c r="AC22" i="2"/>
  <c r="AB22" i="2"/>
  <c r="AD22" i="2" s="1"/>
  <c r="V22" i="2"/>
  <c r="U22" i="2"/>
  <c r="N22" i="2"/>
  <c r="O22" i="2" s="1"/>
  <c r="K22" i="2"/>
  <c r="K34" i="2" s="1"/>
  <c r="CC21" i="2"/>
  <c r="CE21" i="2" s="1"/>
  <c r="BY21" i="2"/>
  <c r="BR21" i="2"/>
  <c r="BP21" i="2"/>
  <c r="BQ21" i="2" s="1"/>
  <c r="BM21" i="2"/>
  <c r="BE21" i="2"/>
  <c r="BD21" i="2"/>
  <c r="BA21" i="2"/>
  <c r="AZ21" i="2"/>
  <c r="AW21" i="2"/>
  <c r="AX21" i="2" s="1"/>
  <c r="AV21" i="2"/>
  <c r="BB21" i="2" s="1"/>
  <c r="AT21" i="2"/>
  <c r="AS21" i="2"/>
  <c r="AQ21" i="2"/>
  <c r="AP21" i="2"/>
  <c r="AN21" i="2"/>
  <c r="AM21" i="2"/>
  <c r="AL21" i="2"/>
  <c r="AK21" i="2"/>
  <c r="AH21" i="2"/>
  <c r="AG21" i="2"/>
  <c r="AF21" i="2"/>
  <c r="AE21" i="2"/>
  <c r="AC21" i="2"/>
  <c r="AB21" i="2"/>
  <c r="AD21" i="2" s="1"/>
  <c r="Y21" i="2"/>
  <c r="V21" i="2"/>
  <c r="U21" i="2"/>
  <c r="O21" i="2"/>
  <c r="N21" i="2"/>
  <c r="K21" i="2"/>
  <c r="CC20" i="2"/>
  <c r="CE20" i="2" s="1"/>
  <c r="BY20" i="2"/>
  <c r="BR20" i="2"/>
  <c r="BP20" i="2"/>
  <c r="BQ20" i="2" s="1"/>
  <c r="BE20" i="2"/>
  <c r="BD20" i="2"/>
  <c r="BA20" i="2"/>
  <c r="AZ20" i="2"/>
  <c r="AV20" i="2"/>
  <c r="AW20" i="2" s="1"/>
  <c r="AX20" i="2" s="1"/>
  <c r="AT20" i="2"/>
  <c r="AS20" i="2"/>
  <c r="AP20" i="2"/>
  <c r="AQ20" i="2" s="1"/>
  <c r="AN20" i="2"/>
  <c r="AM20" i="2"/>
  <c r="AK20" i="2"/>
  <c r="AL20" i="2" s="1"/>
  <c r="AH20" i="2"/>
  <c r="AG20" i="2"/>
  <c r="AE20" i="2"/>
  <c r="AF20" i="2" s="1"/>
  <c r="AC20" i="2"/>
  <c r="AB20" i="2"/>
  <c r="AD20" i="2" s="1"/>
  <c r="Y20" i="2"/>
  <c r="V20" i="2"/>
  <c r="U20" i="2"/>
  <c r="O20" i="2"/>
  <c r="N20" i="2"/>
  <c r="CD19" i="2"/>
  <c r="CD34" i="2" s="1"/>
  <c r="CC19" i="2"/>
  <c r="CB19" i="2"/>
  <c r="BZ19" i="2"/>
  <c r="BZ34" i="2" s="1"/>
  <c r="BY19" i="2"/>
  <c r="BX19" i="2"/>
  <c r="BX34" i="2" s="1"/>
  <c r="BU19" i="2"/>
  <c r="BU34" i="2" s="1"/>
  <c r="BS19" i="2"/>
  <c r="BS34" i="2" s="1"/>
  <c r="BP19" i="2"/>
  <c r="BQ19" i="2" s="1"/>
  <c r="BN19" i="2"/>
  <c r="BN34" i="2" s="1"/>
  <c r="BM19" i="2"/>
  <c r="BD19" i="2"/>
  <c r="BE19" i="2" s="1"/>
  <c r="BB19" i="2"/>
  <c r="AZ19" i="2"/>
  <c r="BA19" i="2" s="1"/>
  <c r="AX19" i="2"/>
  <c r="AW19" i="2"/>
  <c r="AS19" i="2"/>
  <c r="AT19" i="2" s="1"/>
  <c r="AQ19" i="2"/>
  <c r="AP19" i="2"/>
  <c r="AM19" i="2"/>
  <c r="AN19" i="2" s="1"/>
  <c r="AL19" i="2"/>
  <c r="AK19" i="2"/>
  <c r="AG19" i="2"/>
  <c r="AH19" i="2" s="1"/>
  <c r="AF19" i="2"/>
  <c r="AE19" i="2"/>
  <c r="AC19" i="2"/>
  <c r="AB19" i="2"/>
  <c r="AD19" i="2" s="1"/>
  <c r="V19" i="2"/>
  <c r="U19" i="2"/>
  <c r="N19" i="2"/>
  <c r="O19" i="2" s="1"/>
  <c r="CC18" i="2"/>
  <c r="CE18" i="2" s="1"/>
  <c r="BY18" i="2"/>
  <c r="BR18" i="2"/>
  <c r="BP18" i="2"/>
  <c r="BQ18" i="2" s="1"/>
  <c r="BF18" i="2"/>
  <c r="BF34" i="2" s="1"/>
  <c r="BE18" i="2"/>
  <c r="BD18" i="2"/>
  <c r="BA18" i="2"/>
  <c r="AZ18" i="2"/>
  <c r="AV18" i="2"/>
  <c r="AW18" i="2" s="1"/>
  <c r="AX18" i="2" s="1"/>
  <c r="AT18" i="2"/>
  <c r="AS18" i="2"/>
  <c r="AP18" i="2"/>
  <c r="AQ18" i="2" s="1"/>
  <c r="AN18" i="2"/>
  <c r="AM18" i="2"/>
  <c r="AK18" i="2"/>
  <c r="AL18" i="2" s="1"/>
  <c r="AH18" i="2"/>
  <c r="AG18" i="2"/>
  <c r="AE18" i="2"/>
  <c r="AF18" i="2" s="1"/>
  <c r="AC18" i="2"/>
  <c r="AB18" i="2"/>
  <c r="AD18" i="2" s="1"/>
  <c r="V18" i="2"/>
  <c r="U18" i="2"/>
  <c r="N18" i="2"/>
  <c r="O18" i="2" s="1"/>
  <c r="B18" i="2"/>
  <c r="B19" i="2" s="1"/>
  <c r="B20" i="2" s="1"/>
  <c r="B21" i="2" s="1"/>
  <c r="B22" i="2" s="1"/>
  <c r="CE17" i="2"/>
  <c r="CC17" i="2"/>
  <c r="BY17" i="2"/>
  <c r="BY34" i="2" s="1"/>
  <c r="BR17" i="2"/>
  <c r="BQ17" i="2"/>
  <c r="BP17" i="2"/>
  <c r="BM17" i="2"/>
  <c r="BM34" i="2" s="1"/>
  <c r="BE17" i="2"/>
  <c r="BD17" i="2"/>
  <c r="AZ17" i="2"/>
  <c r="BA17" i="2" s="1"/>
  <c r="AV17" i="2"/>
  <c r="AT17" i="2"/>
  <c r="AS17" i="2"/>
  <c r="AP17" i="2"/>
  <c r="AQ17" i="2" s="1"/>
  <c r="AN17" i="2"/>
  <c r="AM17" i="2"/>
  <c r="AK17" i="2"/>
  <c r="AL17" i="2" s="1"/>
  <c r="AH17" i="2"/>
  <c r="AH34" i="2" s="1"/>
  <c r="AG17" i="2"/>
  <c r="AE17" i="2"/>
  <c r="AD17" i="2"/>
  <c r="AC17" i="2"/>
  <c r="AB17" i="2"/>
  <c r="U17" i="2"/>
  <c r="O17" i="2"/>
  <c r="N17" i="2"/>
  <c r="CD13" i="2"/>
  <c r="CB13" i="2"/>
  <c r="CA13" i="2"/>
  <c r="BZ13" i="2"/>
  <c r="BX13" i="2"/>
  <c r="BU13" i="2"/>
  <c r="BT13" i="2"/>
  <c r="BS13" i="2"/>
  <c r="BO13" i="2"/>
  <c r="BN13" i="2"/>
  <c r="BM13" i="2"/>
  <c r="BL13" i="2"/>
  <c r="BK13" i="2"/>
  <c r="BJ13" i="2"/>
  <c r="BI13" i="2"/>
  <c r="BH13" i="2"/>
  <c r="BG13" i="2"/>
  <c r="BF13" i="2"/>
  <c r="BC13" i="2"/>
  <c r="BD13" i="2" s="1"/>
  <c r="BE13" i="2" s="1"/>
  <c r="AY13" i="2"/>
  <c r="AU13" i="2"/>
  <c r="AR13" i="2"/>
  <c r="AO13" i="2"/>
  <c r="AJ13" i="2"/>
  <c r="AI13" i="2"/>
  <c r="AA13" i="2"/>
  <c r="AS13" i="2" s="1"/>
  <c r="AT13" i="2" s="1"/>
  <c r="Z13" i="2"/>
  <c r="X13" i="2"/>
  <c r="W13" i="2"/>
  <c r="T13" i="2"/>
  <c r="S13" i="2"/>
  <c r="R13" i="2"/>
  <c r="Q13" i="2"/>
  <c r="N13" i="2"/>
  <c r="O13" i="2" s="1"/>
  <c r="M13" i="2"/>
  <c r="L13" i="2"/>
  <c r="K13" i="2"/>
  <c r="J13" i="2"/>
  <c r="I13" i="2"/>
  <c r="H13" i="2"/>
  <c r="G13" i="2"/>
  <c r="F13" i="2"/>
  <c r="E13" i="2"/>
  <c r="D13" i="2"/>
  <c r="CC11" i="2"/>
  <c r="CE11" i="2" s="1"/>
  <c r="CE13" i="2" s="1"/>
  <c r="BP11" i="2"/>
  <c r="BE11" i="2"/>
  <c r="BD11" i="2"/>
  <c r="BB11" i="2"/>
  <c r="BA11" i="2"/>
  <c r="AZ11" i="2"/>
  <c r="AW11" i="2"/>
  <c r="AX11" i="2" s="1"/>
  <c r="AT11" i="2"/>
  <c r="AS11" i="2"/>
  <c r="AP11" i="2"/>
  <c r="AQ11" i="2" s="1"/>
  <c r="AN11" i="2"/>
  <c r="AM11" i="2"/>
  <c r="AK11" i="2"/>
  <c r="AL11" i="2" s="1"/>
  <c r="AH11" i="2"/>
  <c r="AG11" i="2"/>
  <c r="AE11" i="2"/>
  <c r="AF11" i="2" s="1"/>
  <c r="AD11" i="2"/>
  <c r="AC11" i="2"/>
  <c r="AB11" i="2"/>
  <c r="V11" i="2"/>
  <c r="U11" i="2"/>
  <c r="CE10" i="2"/>
  <c r="CC10" i="2"/>
  <c r="BY10" i="2"/>
  <c r="BR10" i="2"/>
  <c r="BQ10" i="2"/>
  <c r="BP10" i="2"/>
  <c r="BD10" i="2"/>
  <c r="CF9" i="2"/>
  <c r="CF13" i="2" s="1"/>
  <c r="CC9" i="2"/>
  <c r="CA9" i="2"/>
  <c r="BY9" i="2"/>
  <c r="BV9" i="2"/>
  <c r="BR9" i="2"/>
  <c r="BP9" i="2"/>
  <c r="BQ9" i="2" s="1"/>
  <c r="BE9" i="2"/>
  <c r="BD9" i="2"/>
  <c r="AZ9" i="2"/>
  <c r="BA9" i="2" s="1"/>
  <c r="AV9" i="2"/>
  <c r="AT9" i="2"/>
  <c r="AS9" i="2"/>
  <c r="AP9" i="2"/>
  <c r="AQ9" i="2" s="1"/>
  <c r="AN9" i="2"/>
  <c r="AM9" i="2"/>
  <c r="AK9" i="2"/>
  <c r="AL9" i="2" s="1"/>
  <c r="AH9" i="2"/>
  <c r="AG9" i="2"/>
  <c r="AE9" i="2"/>
  <c r="AF9" i="2" s="1"/>
  <c r="AC9" i="2"/>
  <c r="Y9" i="2"/>
  <c r="V9" i="2"/>
  <c r="U9" i="2"/>
  <c r="N9" i="2"/>
  <c r="O9" i="2" s="1"/>
  <c r="B9" i="2"/>
  <c r="CE8" i="2"/>
  <c r="CC8" i="2"/>
  <c r="BW8" i="2"/>
  <c r="BW13" i="2" s="1"/>
  <c r="BV8" i="2"/>
  <c r="BV13" i="2" s="1"/>
  <c r="BR8" i="2"/>
  <c r="BP8" i="2"/>
  <c r="BQ8" i="2" s="1"/>
  <c r="BE8" i="2"/>
  <c r="BD8" i="2"/>
  <c r="BA8" i="2"/>
  <c r="AZ8" i="2"/>
  <c r="AV8" i="2"/>
  <c r="AW8" i="2" s="1"/>
  <c r="AX8" i="2" s="1"/>
  <c r="AT8" i="2"/>
  <c r="AS8" i="2"/>
  <c r="AP8" i="2"/>
  <c r="AQ8" i="2" s="1"/>
  <c r="AN8" i="2"/>
  <c r="AM8" i="2"/>
  <c r="AK8" i="2"/>
  <c r="AK13" i="2" s="1"/>
  <c r="AL13" i="2" s="1"/>
  <c r="AH8" i="2"/>
  <c r="AG8" i="2"/>
  <c r="AE8" i="2"/>
  <c r="AE13" i="2" s="1"/>
  <c r="AC8" i="2"/>
  <c r="AB8" i="2"/>
  <c r="AD8" i="2" s="1"/>
  <c r="V8" i="2"/>
  <c r="U8" i="2"/>
  <c r="N8" i="2"/>
  <c r="O8" i="2" s="1"/>
  <c r="B8" i="2"/>
  <c r="CE7" i="2"/>
  <c r="CC7" i="2"/>
  <c r="BY7" i="2"/>
  <c r="BR7" i="2"/>
  <c r="BQ7" i="2"/>
  <c r="BP7" i="2"/>
  <c r="BE7" i="2"/>
  <c r="BD7" i="2"/>
  <c r="BB7" i="2"/>
  <c r="AZ7" i="2"/>
  <c r="BA7" i="2" s="1"/>
  <c r="AX7" i="2"/>
  <c r="AW7" i="2"/>
  <c r="AV7" i="2"/>
  <c r="AS7" i="2"/>
  <c r="AT7" i="2" s="1"/>
  <c r="AQ7" i="2"/>
  <c r="AP7" i="2"/>
  <c r="AM7" i="2"/>
  <c r="AN7" i="2" s="1"/>
  <c r="AL7" i="2"/>
  <c r="AK7" i="2"/>
  <c r="AG7" i="2"/>
  <c r="AG13" i="2" s="1"/>
  <c r="AF7" i="2"/>
  <c r="AE7" i="2"/>
  <c r="AD7" i="2"/>
  <c r="AC7" i="2"/>
  <c r="AC13" i="2" s="1"/>
  <c r="AB7" i="2"/>
  <c r="U7" i="2"/>
  <c r="O7" i="2"/>
  <c r="N7" i="2"/>
  <c r="H83" i="1"/>
  <c r="AS73" i="1"/>
  <c r="E73" i="1"/>
  <c r="D73" i="1"/>
  <c r="AX71" i="1"/>
  <c r="AW71" i="1"/>
  <c r="AV71" i="1"/>
  <c r="AO71" i="1"/>
  <c r="AK71" i="1"/>
  <c r="AI71" i="1"/>
  <c r="AH71" i="1"/>
  <c r="U71" i="1"/>
  <c r="T71" i="1"/>
  <c r="S71" i="1"/>
  <c r="Q71" i="1"/>
  <c r="N71" i="1"/>
  <c r="O71" i="1" s="1"/>
  <c r="AK67" i="1"/>
  <c r="AI67" i="1"/>
  <c r="AH67" i="1"/>
  <c r="AK66" i="1"/>
  <c r="AI66" i="1"/>
  <c r="AH66" i="1"/>
  <c r="AK65" i="1"/>
  <c r="AI65" i="1"/>
  <c r="AH65" i="1"/>
  <c r="AK64" i="1"/>
  <c r="AI64" i="1"/>
  <c r="AH64" i="1"/>
  <c r="AK63" i="1"/>
  <c r="AI63" i="1"/>
  <c r="AH63" i="1"/>
  <c r="T61" i="1"/>
  <c r="O61" i="1"/>
  <c r="L61" i="1"/>
  <c r="AK60" i="1"/>
  <c r="AI60" i="1"/>
  <c r="AK59" i="1"/>
  <c r="AI59" i="1"/>
  <c r="AI58" i="1"/>
  <c r="AO55" i="1"/>
  <c r="AK53" i="1"/>
  <c r="AI53" i="1"/>
  <c r="U53" i="1"/>
  <c r="P53" i="1"/>
  <c r="M53" i="1"/>
  <c r="L53" i="1"/>
  <c r="K53" i="1"/>
  <c r="K73" i="1" s="1"/>
  <c r="AN76" i="1" s="1"/>
  <c r="J53" i="1"/>
  <c r="J73" i="1" s="1"/>
  <c r="I53" i="1"/>
  <c r="H53" i="1"/>
  <c r="G53" i="1"/>
  <c r="G73" i="1" s="1"/>
  <c r="F53" i="1"/>
  <c r="F73" i="1" s="1"/>
  <c r="E53" i="1"/>
  <c r="D53" i="1"/>
  <c r="C53" i="1"/>
  <c r="C73" i="1" s="1"/>
  <c r="B53" i="1"/>
  <c r="B73" i="1" s="1"/>
  <c r="AT52" i="1"/>
  <c r="BA47" i="1"/>
  <c r="AP47" i="1"/>
  <c r="AO47" i="1"/>
  <c r="AK47" i="1"/>
  <c r="AI47" i="1"/>
  <c r="S47" i="1"/>
  <c r="S53" i="1" s="1"/>
  <c r="S73" i="1" s="1"/>
  <c r="AO46" i="1"/>
  <c r="AL46" i="1"/>
  <c r="AK46" i="1"/>
  <c r="AI46" i="1"/>
  <c r="AH46" i="1"/>
  <c r="Z46" i="1"/>
  <c r="T46" i="1"/>
  <c r="T53" i="1" s="1"/>
  <c r="O46" i="1"/>
  <c r="O45" i="1"/>
  <c r="AM44" i="1"/>
  <c r="AL44" i="1"/>
  <c r="AK44" i="1"/>
  <c r="AI44" i="1"/>
  <c r="AH44" i="1"/>
  <c r="AO43" i="1"/>
  <c r="AL43" i="1"/>
  <c r="AH43" i="1"/>
  <c r="O43" i="1"/>
  <c r="BB40" i="1"/>
  <c r="BA40" i="1"/>
  <c r="AO37" i="1"/>
  <c r="AL37" i="1"/>
  <c r="AK37" i="1"/>
  <c r="AI37" i="1"/>
  <c r="AH37" i="1"/>
  <c r="Z37" i="1"/>
  <c r="Y37" i="1"/>
  <c r="BA36" i="1"/>
  <c r="AZ36" i="1"/>
  <c r="AT36" i="1"/>
  <c r="AO36" i="1"/>
  <c r="AL36" i="1"/>
  <c r="AK36" i="1"/>
  <c r="AI36" i="1"/>
  <c r="AH36" i="1"/>
  <c r="Z36" i="1"/>
  <c r="O36" i="1"/>
  <c r="AZ35" i="1"/>
  <c r="BA35" i="1" s="1"/>
  <c r="AT35" i="1"/>
  <c r="AK35" i="1"/>
  <c r="AI35" i="1"/>
  <c r="AH35" i="1"/>
  <c r="Z35" i="1"/>
  <c r="AT34" i="1"/>
  <c r="R34" i="1"/>
  <c r="AP32" i="1"/>
  <c r="AN32" i="1"/>
  <c r="AL32" i="1"/>
  <c r="AK32" i="1"/>
  <c r="AJ32" i="1"/>
  <c r="AI32" i="1"/>
  <c r="AG32" i="1"/>
  <c r="AF32" i="1"/>
  <c r="AE32" i="1"/>
  <c r="AD32" i="1"/>
  <c r="AC32" i="1"/>
  <c r="AC74" i="1" s="1"/>
  <c r="AA32" i="1"/>
  <c r="Z32" i="1"/>
  <c r="Y32" i="1"/>
  <c r="X32" i="1"/>
  <c r="W32" i="1"/>
  <c r="Q32" i="1"/>
  <c r="Q53" i="1" s="1"/>
  <c r="O32" i="1"/>
  <c r="O53" i="1" s="1"/>
  <c r="N32" i="1"/>
  <c r="N53" i="1" s="1"/>
  <c r="N73" i="1" s="1"/>
  <c r="AS76" i="1" s="1"/>
  <c r="BB31" i="1"/>
  <c r="BA31" i="1"/>
  <c r="AW31" i="1"/>
  <c r="AV31" i="1"/>
  <c r="AU31" i="1"/>
  <c r="AS31" i="1"/>
  <c r="AT31" i="1" s="1"/>
  <c r="AR31" i="1"/>
  <c r="AQ31" i="1"/>
  <c r="T31" i="1"/>
  <c r="R31" i="1"/>
  <c r="R53" i="1" s="1"/>
  <c r="R73" i="1" s="1"/>
  <c r="AO29" i="1"/>
  <c r="AM29" i="1"/>
  <c r="AM32" i="1" s="1"/>
  <c r="AK29" i="1"/>
  <c r="AI29" i="1"/>
  <c r="AH29" i="1"/>
  <c r="AB29" i="1"/>
  <c r="Z29" i="1"/>
  <c r="AY28" i="1"/>
  <c r="AZ28" i="1" s="1"/>
  <c r="AT28" i="1"/>
  <c r="AO28" i="1"/>
  <c r="AK28" i="1"/>
  <c r="AI28" i="1"/>
  <c r="AH28" i="1"/>
  <c r="AB28" i="1"/>
  <c r="AB32" i="1" s="1"/>
  <c r="Z28" i="1"/>
  <c r="AZ27" i="1"/>
  <c r="AY27" i="1"/>
  <c r="AV27" i="1"/>
  <c r="AT27" i="1"/>
  <c r="AO27" i="1"/>
  <c r="AO32" i="1" s="1"/>
  <c r="AK27" i="1"/>
  <c r="AI27" i="1"/>
  <c r="AH27" i="1"/>
  <c r="AH32" i="1" s="1"/>
  <c r="Z27" i="1"/>
  <c r="U27" i="1"/>
  <c r="T27" i="1"/>
  <c r="S27" i="1"/>
  <c r="R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BA26" i="1"/>
  <c r="AY26" i="1"/>
  <c r="AZ26" i="1" s="1"/>
  <c r="AZ31" i="1" s="1"/>
  <c r="AX26" i="1"/>
  <c r="AX31" i="1" s="1"/>
  <c r="AW26" i="1"/>
  <c r="AV26" i="1"/>
  <c r="AT26" i="1"/>
  <c r="Q26" i="1"/>
  <c r="Q27" i="1" s="1"/>
  <c r="O26" i="1"/>
  <c r="AO20" i="1"/>
  <c r="AO74" i="1" s="1"/>
  <c r="AN20" i="1"/>
  <c r="AM20" i="1"/>
  <c r="AM74" i="1" s="1"/>
  <c r="AJ20" i="1"/>
  <c r="AJ74" i="1" s="1"/>
  <c r="AC20" i="1"/>
  <c r="AB20" i="1"/>
  <c r="X20" i="1"/>
  <c r="X74" i="1" s="1"/>
  <c r="AS19" i="1"/>
  <c r="AR19" i="1"/>
  <c r="AR73" i="1" s="1"/>
  <c r="AP19" i="1"/>
  <c r="AO19" i="1"/>
  <c r="AN19" i="1"/>
  <c r="AL19" i="1"/>
  <c r="AK19" i="1"/>
  <c r="AJ19" i="1"/>
  <c r="AI19" i="1"/>
  <c r="AH19" i="1"/>
  <c r="AF19" i="1"/>
  <c r="AD19" i="1"/>
  <c r="AC19" i="1"/>
  <c r="AB19" i="1"/>
  <c r="AA19" i="1"/>
  <c r="AA20" i="1" s="1"/>
  <c r="AA74" i="1" s="1"/>
  <c r="Y19" i="1"/>
  <c r="Y20" i="1" s="1"/>
  <c r="Y74" i="1" s="1"/>
  <c r="X19" i="1"/>
  <c r="W19" i="1"/>
  <c r="W20" i="1" s="1"/>
  <c r="W74" i="1" s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AT18" i="1"/>
  <c r="AQ18" i="1"/>
  <c r="AP18" i="1"/>
  <c r="AO18" i="1"/>
  <c r="AN18" i="1"/>
  <c r="AL18" i="1"/>
  <c r="AK18" i="1"/>
  <c r="AI18" i="1"/>
  <c r="AH18" i="1"/>
  <c r="AG18" i="1"/>
  <c r="AF18" i="1"/>
  <c r="AD18" i="1"/>
  <c r="AC18" i="1"/>
  <c r="AB18" i="1"/>
  <c r="Z18" i="1"/>
  <c r="X18" i="1"/>
  <c r="BB17" i="1"/>
  <c r="BA17" i="1"/>
  <c r="AZ17" i="1"/>
  <c r="AY17" i="1"/>
  <c r="AX17" i="1"/>
  <c r="AW17" i="1"/>
  <c r="AV17" i="1"/>
  <c r="AU17" i="1"/>
  <c r="AT17" i="1"/>
  <c r="AQ17" i="1"/>
  <c r="AP17" i="1"/>
  <c r="AO17" i="1"/>
  <c r="AN17" i="1"/>
  <c r="AL17" i="1"/>
  <c r="AK17" i="1"/>
  <c r="AI17" i="1"/>
  <c r="AH17" i="1"/>
  <c r="AG17" i="1"/>
  <c r="AF17" i="1"/>
  <c r="AD17" i="1"/>
  <c r="AC17" i="1"/>
  <c r="AB17" i="1"/>
  <c r="Z17" i="1"/>
  <c r="X17" i="1"/>
  <c r="BB16" i="1"/>
  <c r="BA16" i="1"/>
  <c r="AZ16" i="1"/>
  <c r="AY16" i="1"/>
  <c r="AX16" i="1"/>
  <c r="AW16" i="1"/>
  <c r="AV16" i="1"/>
  <c r="AU16" i="1"/>
  <c r="AT16" i="1"/>
  <c r="AQ16" i="1"/>
  <c r="AP16" i="1"/>
  <c r="AO16" i="1"/>
  <c r="AN16" i="1"/>
  <c r="AL16" i="1"/>
  <c r="AK16" i="1"/>
  <c r="AI16" i="1"/>
  <c r="AH16" i="1"/>
  <c r="AG16" i="1"/>
  <c r="AF16" i="1"/>
  <c r="AD16" i="1"/>
  <c r="AC16" i="1"/>
  <c r="AB16" i="1"/>
  <c r="Z16" i="1"/>
  <c r="X16" i="1"/>
  <c r="O16" i="1"/>
  <c r="BB15" i="1"/>
  <c r="BA15" i="1"/>
  <c r="AZ15" i="1"/>
  <c r="AY15" i="1"/>
  <c r="AX15" i="1"/>
  <c r="AW15" i="1"/>
  <c r="AV15" i="1"/>
  <c r="AU15" i="1"/>
  <c r="AT15" i="1"/>
  <c r="AQ15" i="1"/>
  <c r="AP15" i="1"/>
  <c r="AO15" i="1"/>
  <c r="AN15" i="1"/>
  <c r="AL15" i="1"/>
  <c r="AK15" i="1"/>
  <c r="AI15" i="1"/>
  <c r="AH15" i="1"/>
  <c r="AG15" i="1"/>
  <c r="AD15" i="1"/>
  <c r="AF15" i="1" s="1"/>
  <c r="AC15" i="1"/>
  <c r="AB15" i="1"/>
  <c r="Z15" i="1"/>
  <c r="X15" i="1"/>
  <c r="BB14" i="1"/>
  <c r="BA14" i="1"/>
  <c r="AZ14" i="1"/>
  <c r="AY14" i="1"/>
  <c r="AX14" i="1"/>
  <c r="AW14" i="1"/>
  <c r="AV14" i="1"/>
  <c r="AU14" i="1"/>
  <c r="BB13" i="1"/>
  <c r="BA13" i="1"/>
  <c r="AZ13" i="1"/>
  <c r="AY13" i="1"/>
  <c r="AX13" i="1"/>
  <c r="AW13" i="1"/>
  <c r="AV13" i="1"/>
  <c r="AU13" i="1"/>
  <c r="BB12" i="1"/>
  <c r="BA12" i="1"/>
  <c r="AZ12" i="1"/>
  <c r="AY12" i="1"/>
  <c r="AX12" i="1"/>
  <c r="AW12" i="1"/>
  <c r="AV12" i="1"/>
  <c r="AU12" i="1"/>
  <c r="AT12" i="1"/>
  <c r="AQ12" i="1"/>
  <c r="AP12" i="1"/>
  <c r="AO12" i="1"/>
  <c r="AN12" i="1"/>
  <c r="AL12" i="1"/>
  <c r="AK12" i="1"/>
  <c r="AI12" i="1"/>
  <c r="AH12" i="1"/>
  <c r="AG12" i="1"/>
  <c r="AD12" i="1"/>
  <c r="AF12" i="1" s="1"/>
  <c r="AC12" i="1"/>
  <c r="AB12" i="1"/>
  <c r="Z12" i="1"/>
  <c r="X12" i="1"/>
  <c r="BB11" i="1"/>
  <c r="BA11" i="1"/>
  <c r="AZ11" i="1"/>
  <c r="AY11" i="1"/>
  <c r="AX11" i="1"/>
  <c r="AW11" i="1"/>
  <c r="AV11" i="1"/>
  <c r="AU11" i="1"/>
  <c r="AT11" i="1"/>
  <c r="AQ11" i="1"/>
  <c r="AP11" i="1"/>
  <c r="AO11" i="1"/>
  <c r="AN11" i="1"/>
  <c r="AL11" i="1"/>
  <c r="AK11" i="1"/>
  <c r="AI11" i="1"/>
  <c r="AH11" i="1"/>
  <c r="AG11" i="1"/>
  <c r="AD11" i="1"/>
  <c r="AF11" i="1" s="1"/>
  <c r="AC11" i="1"/>
  <c r="AB11" i="1"/>
  <c r="Z11" i="1"/>
  <c r="X11" i="1"/>
  <c r="U11" i="1"/>
  <c r="U73" i="1" s="1"/>
  <c r="R11" i="1"/>
  <c r="P11" i="1"/>
  <c r="P73" i="1" s="1"/>
  <c r="M11" i="1"/>
  <c r="M73" i="1" s="1"/>
  <c r="AR76" i="1" s="1"/>
  <c r="L11" i="1"/>
  <c r="L73" i="1" s="1"/>
  <c r="K11" i="1"/>
  <c r="J11" i="1"/>
  <c r="I11" i="1"/>
  <c r="I73" i="1" s="1"/>
  <c r="H11" i="1"/>
  <c r="H73" i="1" s="1"/>
  <c r="F11" i="1"/>
  <c r="E11" i="1"/>
  <c r="D11" i="1"/>
  <c r="C11" i="1"/>
  <c r="B11" i="1"/>
  <c r="BB10" i="1"/>
  <c r="BA10" i="1"/>
  <c r="AZ10" i="1"/>
  <c r="AY10" i="1"/>
  <c r="AX10" i="1"/>
  <c r="AW10" i="1"/>
  <c r="AV10" i="1"/>
  <c r="AU10" i="1"/>
  <c r="AT10" i="1"/>
  <c r="AQ10" i="1"/>
  <c r="BB9" i="1"/>
  <c r="BA9" i="1"/>
  <c r="AZ9" i="1"/>
  <c r="AY9" i="1"/>
  <c r="AX9" i="1"/>
  <c r="AW9" i="1"/>
  <c r="AV9" i="1"/>
  <c r="AU9" i="1"/>
  <c r="AT9" i="1"/>
  <c r="AQ9" i="1"/>
  <c r="AP9" i="1"/>
  <c r="AO9" i="1"/>
  <c r="AN9" i="1"/>
  <c r="AL9" i="1"/>
  <c r="AK9" i="1"/>
  <c r="AI9" i="1"/>
  <c r="AH9" i="1"/>
  <c r="AG9" i="1"/>
  <c r="AD9" i="1"/>
  <c r="AF9" i="1" s="1"/>
  <c r="AC9" i="1"/>
  <c r="AB9" i="1"/>
  <c r="Z9" i="1"/>
  <c r="X9" i="1"/>
  <c r="BB8" i="1"/>
  <c r="BA8" i="1"/>
  <c r="AZ8" i="1"/>
  <c r="AY8" i="1"/>
  <c r="AX8" i="1"/>
  <c r="AW8" i="1"/>
  <c r="AV8" i="1"/>
  <c r="AU8" i="1"/>
  <c r="AT8" i="1"/>
  <c r="AQ8" i="1"/>
  <c r="AP8" i="1"/>
  <c r="AO8" i="1"/>
  <c r="AN8" i="1"/>
  <c r="AL8" i="1"/>
  <c r="AK8" i="1"/>
  <c r="AI8" i="1"/>
  <c r="AH8" i="1"/>
  <c r="AG8" i="1"/>
  <c r="AD8" i="1"/>
  <c r="AF8" i="1" s="1"/>
  <c r="AC8" i="1"/>
  <c r="AB8" i="1"/>
  <c r="Z8" i="1"/>
  <c r="X8" i="1"/>
  <c r="T8" i="1"/>
  <c r="T11" i="1" s="1"/>
  <c r="S8" i="1"/>
  <c r="O8" i="1"/>
  <c r="BB7" i="1"/>
  <c r="BA7" i="1"/>
  <c r="AZ7" i="1"/>
  <c r="AY7" i="1"/>
  <c r="AX7" i="1"/>
  <c r="AW7" i="1"/>
  <c r="AV7" i="1"/>
  <c r="AU7" i="1"/>
  <c r="AT7" i="1"/>
  <c r="AT19" i="1" s="1"/>
  <c r="AT73" i="1" s="1"/>
  <c r="AQ7" i="1"/>
  <c r="AP7" i="1"/>
  <c r="AO7" i="1"/>
  <c r="AN7" i="1"/>
  <c r="AL7" i="1"/>
  <c r="AK7" i="1"/>
  <c r="AI7" i="1"/>
  <c r="AH7" i="1"/>
  <c r="AG7" i="1"/>
  <c r="AD7" i="1"/>
  <c r="AF7" i="1" s="1"/>
  <c r="AC7" i="1"/>
  <c r="AB7" i="1"/>
  <c r="Z7" i="1"/>
  <c r="X7" i="1"/>
  <c r="S7" i="1"/>
  <c r="S11" i="1" s="1"/>
  <c r="O7" i="1"/>
  <c r="N7" i="1"/>
  <c r="N11" i="1" s="1"/>
  <c r="M7" i="1"/>
  <c r="BB6" i="1"/>
  <c r="BA6" i="1"/>
  <c r="AZ6" i="1"/>
  <c r="AY6" i="1"/>
  <c r="AX6" i="1"/>
  <c r="AW6" i="1"/>
  <c r="AV6" i="1"/>
  <c r="AU6" i="1"/>
  <c r="AQ6" i="1"/>
  <c r="AP6" i="1"/>
  <c r="AO6" i="1"/>
  <c r="AN6" i="1"/>
  <c r="AL6" i="1"/>
  <c r="AK6" i="1"/>
  <c r="AI6" i="1"/>
  <c r="AH6" i="1"/>
  <c r="AG6" i="1"/>
  <c r="AF6" i="1"/>
  <c r="AD6" i="1"/>
  <c r="AC6" i="1"/>
  <c r="AB6" i="1"/>
  <c r="Z6" i="1"/>
  <c r="X6" i="1"/>
  <c r="U6" i="1"/>
  <c r="T6" i="1"/>
  <c r="Q6" i="1"/>
  <c r="Q11" i="1" s="1"/>
  <c r="P6" i="1"/>
  <c r="O6" i="1"/>
  <c r="BB5" i="1"/>
  <c r="BA5" i="1"/>
  <c r="AZ5" i="1"/>
  <c r="AY5" i="1"/>
  <c r="AX5" i="1"/>
  <c r="AW5" i="1"/>
  <c r="AV5" i="1"/>
  <c r="AU5" i="1"/>
  <c r="AQ5" i="1"/>
  <c r="AQ19" i="1" s="1"/>
  <c r="AQ73" i="1" s="1"/>
  <c r="AP5" i="1"/>
  <c r="AP20" i="1" s="1"/>
  <c r="AO5" i="1"/>
  <c r="AN5" i="1"/>
  <c r="AL5" i="1"/>
  <c r="AL20" i="1" s="1"/>
  <c r="AL74" i="1" s="1"/>
  <c r="AK5" i="1"/>
  <c r="AK20" i="1" s="1"/>
  <c r="AK74" i="1" s="1"/>
  <c r="AI5" i="1"/>
  <c r="AH5" i="1"/>
  <c r="AH20" i="1" s="1"/>
  <c r="AH74" i="1" s="1"/>
  <c r="AG5" i="1"/>
  <c r="AG20" i="1" s="1"/>
  <c r="AG74" i="1" s="1"/>
  <c r="AF5" i="1"/>
  <c r="AF20" i="1" s="1"/>
  <c r="AF74" i="1" s="1"/>
  <c r="AD5" i="1"/>
  <c r="AD20" i="1" s="1"/>
  <c r="AD74" i="1" s="1"/>
  <c r="AC5" i="1"/>
  <c r="AB5" i="1"/>
  <c r="Z5" i="1"/>
  <c r="Z20" i="1" s="1"/>
  <c r="Z74" i="1" s="1"/>
  <c r="X5" i="1"/>
  <c r="O5" i="1"/>
  <c r="O11" i="1" s="1"/>
  <c r="BA19" i="1" l="1"/>
  <c r="BA73" i="1" s="1"/>
  <c r="AX19" i="1"/>
  <c r="BB19" i="1"/>
  <c r="BB73" i="1" s="1"/>
  <c r="AV19" i="1"/>
  <c r="AV73" i="1" s="1"/>
  <c r="AZ19" i="1"/>
  <c r="AZ73" i="1" s="1"/>
  <c r="AW19" i="1"/>
  <c r="AW73" i="1" s="1"/>
  <c r="AU19" i="1"/>
  <c r="AU73" i="1" s="1"/>
  <c r="AU76" i="1" s="1"/>
  <c r="AY19" i="1"/>
  <c r="B157" i="2"/>
  <c r="B162" i="2" s="1"/>
  <c r="B156" i="2"/>
  <c r="BY96" i="2"/>
  <c r="Y13" i="2"/>
  <c r="AB9" i="2"/>
  <c r="AD9" i="2" s="1"/>
  <c r="AD13" i="2" s="1"/>
  <c r="BB9" i="2"/>
  <c r="AW9" i="2"/>
  <c r="AX9" i="2" s="1"/>
  <c r="BB22" i="2"/>
  <c r="AG94" i="2"/>
  <c r="AH86" i="2"/>
  <c r="AH94" i="2" s="1"/>
  <c r="AF87" i="2"/>
  <c r="AF94" i="2" s="1"/>
  <c r="AE94" i="2"/>
  <c r="BB138" i="2"/>
  <c r="AW138" i="2"/>
  <c r="AX138" i="2" s="1"/>
  <c r="AH7" i="2"/>
  <c r="AH13" i="2" s="1"/>
  <c r="BY8" i="2"/>
  <c r="BY13" i="2" s="1"/>
  <c r="AP13" i="2"/>
  <c r="AQ13" i="2" s="1"/>
  <c r="AD34" i="2"/>
  <c r="BB18" i="2"/>
  <c r="AW24" i="2"/>
  <c r="AX24" i="2" s="1"/>
  <c r="BB27" i="2"/>
  <c r="AW27" i="2"/>
  <c r="AX27" i="2" s="1"/>
  <c r="AG34" i="2"/>
  <c r="CC34" i="2"/>
  <c r="AM13" i="2"/>
  <c r="AN13" i="2" s="1"/>
  <c r="AZ13" i="2"/>
  <c r="BA13" i="2" s="1"/>
  <c r="AV13" i="2"/>
  <c r="BB17" i="2"/>
  <c r="AW17" i="2"/>
  <c r="AX17" i="2" s="1"/>
  <c r="AB34" i="2"/>
  <c r="U60" i="2"/>
  <c r="V37" i="2"/>
  <c r="V60" i="2" s="1"/>
  <c r="AO60" i="2"/>
  <c r="AP60" i="2" s="1"/>
  <c r="AQ60" i="2" s="1"/>
  <c r="AZ38" i="2"/>
  <c r="BA38" i="2" s="1"/>
  <c r="AP38" i="2"/>
  <c r="AQ38" i="2" s="1"/>
  <c r="BB63" i="2"/>
  <c r="AW63" i="2"/>
  <c r="AX63" i="2" s="1"/>
  <c r="CC96" i="2"/>
  <c r="BN96" i="2"/>
  <c r="CB96" i="2"/>
  <c r="BY123" i="2"/>
  <c r="AD152" i="2"/>
  <c r="Y159" i="2"/>
  <c r="AB157" i="2"/>
  <c r="AD157" i="2" s="1"/>
  <c r="L34" i="2"/>
  <c r="N28" i="2"/>
  <c r="N34" i="2" s="1"/>
  <c r="O34" i="2" s="1"/>
  <c r="AG80" i="2"/>
  <c r="AH75" i="2"/>
  <c r="AH80" i="2" s="1"/>
  <c r="BQ82" i="2"/>
  <c r="BQ84" i="2" s="1"/>
  <c r="BP84" i="2"/>
  <c r="AD88" i="2"/>
  <c r="AB94" i="2"/>
  <c r="BD94" i="2"/>
  <c r="BE94" i="2" s="1"/>
  <c r="AE140" i="2"/>
  <c r="AF138" i="2"/>
  <c r="AF140" i="2" s="1"/>
  <c r="M149" i="2"/>
  <c r="N149" i="2" s="1"/>
  <c r="O149" i="2" s="1"/>
  <c r="N147" i="2"/>
  <c r="O147" i="2" s="1"/>
  <c r="CC13" i="2"/>
  <c r="BB8" i="2"/>
  <c r="U34" i="2"/>
  <c r="BB20" i="2"/>
  <c r="AZ25" i="2"/>
  <c r="AP25" i="2"/>
  <c r="AH60" i="2"/>
  <c r="BB43" i="2"/>
  <c r="AW43" i="2"/>
  <c r="AX43" i="2" s="1"/>
  <c r="U105" i="2"/>
  <c r="V99" i="2"/>
  <c r="V105" i="2" s="1"/>
  <c r="U13" i="2"/>
  <c r="V7" i="2"/>
  <c r="V13" i="2" s="1"/>
  <c r="AF8" i="2"/>
  <c r="AF13" i="2" s="1"/>
  <c r="AL8" i="2"/>
  <c r="BP13" i="2"/>
  <c r="BQ13" i="2" s="1"/>
  <c r="V17" i="2"/>
  <c r="V34" i="2" s="1"/>
  <c r="AE34" i="2"/>
  <c r="AF17" i="2"/>
  <c r="AF34" i="2" s="1"/>
  <c r="BK34" i="2"/>
  <c r="BP34" i="2" s="1"/>
  <c r="BQ34" i="2" s="1"/>
  <c r="BP27" i="2"/>
  <c r="BQ27" i="2" s="1"/>
  <c r="AV34" i="2"/>
  <c r="AZ34" i="2"/>
  <c r="BA34" i="2" s="1"/>
  <c r="BB38" i="2"/>
  <c r="AW38" i="2"/>
  <c r="AX38" i="2" s="1"/>
  <c r="BY40" i="2"/>
  <c r="BY60" i="2" s="1"/>
  <c r="BW60" i="2"/>
  <c r="BB80" i="2"/>
  <c r="AW80" i="2"/>
  <c r="AX80" i="2" s="1"/>
  <c r="AM105" i="2"/>
  <c r="AN105" i="2" s="1"/>
  <c r="AS105" i="2"/>
  <c r="AT105" i="2" s="1"/>
  <c r="AK105" i="2"/>
  <c r="AL105" i="2" s="1"/>
  <c r="AD123" i="2"/>
  <c r="AH123" i="2"/>
  <c r="AZ123" i="2"/>
  <c r="BA123" i="2" s="1"/>
  <c r="AV123" i="2"/>
  <c r="BD123" i="2"/>
  <c r="BE123" i="2" s="1"/>
  <c r="AE147" i="2"/>
  <c r="AF142" i="2"/>
  <c r="AF147" i="2" s="1"/>
  <c r="AF149" i="2" s="1"/>
  <c r="K60" i="2"/>
  <c r="BB48" i="2"/>
  <c r="BB52" i="2"/>
  <c r="AW52" i="2"/>
  <c r="AX52" i="2" s="1"/>
  <c r="AZ60" i="2"/>
  <c r="BA60" i="2" s="1"/>
  <c r="AP94" i="2"/>
  <c r="AQ94" i="2" s="1"/>
  <c r="AK94" i="2"/>
  <c r="AL94" i="2" s="1"/>
  <c r="BB94" i="2"/>
  <c r="AW94" i="2"/>
  <c r="AX94" i="2" s="1"/>
  <c r="BO96" i="2"/>
  <c r="CA96" i="2"/>
  <c r="CA167" i="2" s="1"/>
  <c r="AF105" i="2"/>
  <c r="AP102" i="2"/>
  <c r="AQ102" i="2" s="1"/>
  <c r="AZ102" i="2"/>
  <c r="BA102" i="2" s="1"/>
  <c r="AW103" i="2"/>
  <c r="AX103" i="2" s="1"/>
  <c r="AE105" i="2"/>
  <c r="AV105" i="2"/>
  <c r="U123" i="2"/>
  <c r="V109" i="2"/>
  <c r="V123" i="2" s="1"/>
  <c r="CB167" i="2"/>
  <c r="V149" i="2"/>
  <c r="BR19" i="2"/>
  <c r="AZ23" i="2"/>
  <c r="BA23" i="2" s="1"/>
  <c r="AB60" i="2"/>
  <c r="AG60" i="2"/>
  <c r="AV60" i="2"/>
  <c r="BB37" i="2"/>
  <c r="AW37" i="2"/>
  <c r="AX37" i="2" s="1"/>
  <c r="AW39" i="2"/>
  <c r="AX39" i="2" s="1"/>
  <c r="AW40" i="2"/>
  <c r="AX40" i="2" s="1"/>
  <c r="BZ60" i="2"/>
  <c r="BB44" i="2"/>
  <c r="AW44" i="2"/>
  <c r="AX44" i="2" s="1"/>
  <c r="AW53" i="2"/>
  <c r="AX53" i="2" s="1"/>
  <c r="AM60" i="2"/>
  <c r="AN60" i="2" s="1"/>
  <c r="U80" i="2"/>
  <c r="V75" i="2"/>
  <c r="V80" i="2" s="1"/>
  <c r="AW76" i="2"/>
  <c r="AX76" i="2" s="1"/>
  <c r="AW78" i="2"/>
  <c r="AX78" i="2" s="1"/>
  <c r="AK80" i="2"/>
  <c r="AL80" i="2" s="1"/>
  <c r="U94" i="2"/>
  <c r="V86" i="2"/>
  <c r="V94" i="2" s="1"/>
  <c r="CE94" i="2"/>
  <c r="CE96" i="2" s="1"/>
  <c r="AY96" i="2"/>
  <c r="BP94" i="2"/>
  <c r="BW96" i="2"/>
  <c r="N105" i="2"/>
  <c r="O105" i="2" s="1"/>
  <c r="BB99" i="2"/>
  <c r="AW99" i="2"/>
  <c r="AX99" i="2" s="1"/>
  <c r="BR99" i="2"/>
  <c r="CE105" i="2"/>
  <c r="AW102" i="2"/>
  <c r="AX102" i="2" s="1"/>
  <c r="AP103" i="2"/>
  <c r="AQ103" i="2" s="1"/>
  <c r="AG105" i="2"/>
  <c r="AO105" i="2"/>
  <c r="AP105" i="2" s="1"/>
  <c r="AQ105" i="2" s="1"/>
  <c r="BD105" i="2"/>
  <c r="BE105" i="2" s="1"/>
  <c r="AB123" i="2"/>
  <c r="CC123" i="2"/>
  <c r="BZ123" i="2"/>
  <c r="AP123" i="2"/>
  <c r="AQ123" i="2" s="1"/>
  <c r="BB112" i="2"/>
  <c r="AW112" i="2"/>
  <c r="BT167" i="2"/>
  <c r="BU167" i="2"/>
  <c r="CE133" i="2"/>
  <c r="CE135" i="2" s="1"/>
  <c r="CE167" i="2" s="1"/>
  <c r="BH167" i="2"/>
  <c r="Y147" i="2"/>
  <c r="Y149" i="2" s="1"/>
  <c r="AB142" i="2"/>
  <c r="AH149" i="2"/>
  <c r="AY149" i="2"/>
  <c r="AY167" i="2" s="1"/>
  <c r="AV147" i="2"/>
  <c r="AZ147" i="2"/>
  <c r="BA147" i="2" s="1"/>
  <c r="BD147" i="2"/>
  <c r="BE147" i="2" s="1"/>
  <c r="AO159" i="2"/>
  <c r="AP159" i="2" s="1"/>
  <c r="AQ159" i="2" s="1"/>
  <c r="AZ156" i="2"/>
  <c r="AP156" i="2"/>
  <c r="AF60" i="2"/>
  <c r="BB56" i="2"/>
  <c r="AW56" i="2"/>
  <c r="AX56" i="2" s="1"/>
  <c r="AE60" i="2"/>
  <c r="AD68" i="2"/>
  <c r="AD80" i="2"/>
  <c r="AD94" i="2"/>
  <c r="BB87" i="2"/>
  <c r="AW87" i="2"/>
  <c r="AX87" i="2" s="1"/>
  <c r="CE34" i="2"/>
  <c r="AC60" i="2"/>
  <c r="CC60" i="2"/>
  <c r="CC167" i="2" s="1"/>
  <c r="CE37" i="2"/>
  <c r="CE60" i="2" s="1"/>
  <c r="AK60" i="2"/>
  <c r="AL60" i="2" s="1"/>
  <c r="BD60" i="2"/>
  <c r="BE60" i="2" s="1"/>
  <c r="BP60" i="2"/>
  <c r="BQ60" i="2" s="1"/>
  <c r="AE65" i="2"/>
  <c r="AF63" i="2"/>
  <c r="AF65" i="2" s="1"/>
  <c r="BY73" i="2"/>
  <c r="AV73" i="2"/>
  <c r="BW80" i="2"/>
  <c r="BY75" i="2"/>
  <c r="BY80" i="2" s="1"/>
  <c r="CD80" i="2"/>
  <c r="CD96" i="2" s="1"/>
  <c r="AB80" i="2"/>
  <c r="BB82" i="2"/>
  <c r="AW82" i="2"/>
  <c r="AX82" i="2" s="1"/>
  <c r="BZ96" i="2"/>
  <c r="BZ167" i="2" s="1"/>
  <c r="AM94" i="2"/>
  <c r="AN94" i="2" s="1"/>
  <c r="AS94" i="2"/>
  <c r="AT94" i="2" s="1"/>
  <c r="AC105" i="2"/>
  <c r="AH105" i="2"/>
  <c r="BB103" i="2"/>
  <c r="AC123" i="2"/>
  <c r="AG123" i="2"/>
  <c r="BW123" i="2"/>
  <c r="BY115" i="2"/>
  <c r="BB140" i="2"/>
  <c r="AW140" i="2"/>
  <c r="AX140" i="2" s="1"/>
  <c r="BR75" i="2"/>
  <c r="AB105" i="2"/>
  <c r="CC105" i="2"/>
  <c r="AZ101" i="2"/>
  <c r="BA101" i="2" s="1"/>
  <c r="BP105" i="2"/>
  <c r="BQ105" i="2" s="1"/>
  <c r="CD123" i="2"/>
  <c r="AS123" i="2"/>
  <c r="AT123" i="2" s="1"/>
  <c r="BB126" i="2"/>
  <c r="AW126" i="2"/>
  <c r="AX126" i="2" s="1"/>
  <c r="CE130" i="2"/>
  <c r="BX167" i="2"/>
  <c r="AG140" i="2"/>
  <c r="AG149" i="2" s="1"/>
  <c r="AH138" i="2"/>
  <c r="AH140" i="2" s="1"/>
  <c r="K149" i="2"/>
  <c r="AC159" i="2"/>
  <c r="CC159" i="2"/>
  <c r="Y105" i="2"/>
  <c r="CE123" i="2"/>
  <c r="BM123" i="2"/>
  <c r="BM167" i="2" s="1"/>
  <c r="BB117" i="2"/>
  <c r="AW117" i="2"/>
  <c r="AX117" i="2" s="1"/>
  <c r="U147" i="2"/>
  <c r="U149" i="2" s="1"/>
  <c r="AO149" i="2"/>
  <c r="AP147" i="2"/>
  <c r="AQ147" i="2" s="1"/>
  <c r="AM149" i="2"/>
  <c r="AN149" i="2" s="1"/>
  <c r="AZ112" i="2"/>
  <c r="N140" i="2"/>
  <c r="O140" i="2" s="1"/>
  <c r="E149" i="2"/>
  <c r="Q149" i="2"/>
  <c r="BS149" i="2"/>
  <c r="BS167" i="2" s="1"/>
  <c r="BW149" i="2"/>
  <c r="CE159" i="2"/>
  <c r="BO167" i="2"/>
  <c r="BO170" i="2" s="1"/>
  <c r="BW167" i="2"/>
  <c r="CF167" i="2"/>
  <c r="CC149" i="2"/>
  <c r="BB144" i="2"/>
  <c r="AW144" i="2"/>
  <c r="AX144" i="2" s="1"/>
  <c r="BB145" i="2"/>
  <c r="AW145" i="2"/>
  <c r="AX145" i="2" s="1"/>
  <c r="R149" i="2"/>
  <c r="Z149" i="2"/>
  <c r="BF149" i="2"/>
  <c r="BF167" i="2" s="1"/>
  <c r="BJ149" i="2"/>
  <c r="BN149" i="2"/>
  <c r="BP149" i="2" s="1"/>
  <c r="BQ149" i="2" s="1"/>
  <c r="CC164" i="2"/>
  <c r="CE162" i="2"/>
  <c r="CE164" i="2" s="1"/>
  <c r="BV167" i="2"/>
  <c r="F149" i="2"/>
  <c r="J149" i="2"/>
  <c r="S149" i="2"/>
  <c r="W149" i="2"/>
  <c r="AA149" i="2"/>
  <c r="AS149" i="2" s="1"/>
  <c r="AT149" i="2" s="1"/>
  <c r="AI149" i="2"/>
  <c r="AU149" i="2"/>
  <c r="BG149" i="2"/>
  <c r="BK149" i="2"/>
  <c r="BO149" i="2"/>
  <c r="BY159" i="2"/>
  <c r="CD159" i="2"/>
  <c r="AS159" i="2"/>
  <c r="AT159" i="2" s="1"/>
  <c r="AV159" i="2"/>
  <c r="V162" i="2"/>
  <c r="V164" i="2" s="1"/>
  <c r="U164" i="2"/>
  <c r="AM164" i="2"/>
  <c r="AN164" i="2" s="1"/>
  <c r="AZ164" i="2"/>
  <c r="BA164" i="2" s="1"/>
  <c r="AV164" i="2"/>
  <c r="BC149" i="2"/>
  <c r="AF159" i="2"/>
  <c r="AK164" i="2"/>
  <c r="AL164" i="2" s="1"/>
  <c r="AS164" i="2"/>
  <c r="AT164" i="2" s="1"/>
  <c r="O73" i="1"/>
  <c r="AT76" i="1" s="1"/>
  <c r="T73" i="1"/>
  <c r="AX73" i="1"/>
  <c r="AX76" i="1" s="1"/>
  <c r="AQ76" i="1"/>
  <c r="AP76" i="1"/>
  <c r="BB76" i="1"/>
  <c r="AB74" i="1"/>
  <c r="AW76" i="1"/>
  <c r="Q73" i="1"/>
  <c r="AV76" i="1" s="1"/>
  <c r="AY31" i="1"/>
  <c r="AY73" i="1" l="1"/>
  <c r="CD167" i="2"/>
  <c r="BY167" i="2"/>
  <c r="AB147" i="2"/>
  <c r="AB149" i="2" s="1"/>
  <c r="AD142" i="2"/>
  <c r="AD147" i="2" s="1"/>
  <c r="AD149" i="2" s="1"/>
  <c r="BB105" i="2"/>
  <c r="AW105" i="2"/>
  <c r="AX105" i="2" s="1"/>
  <c r="AE149" i="2"/>
  <c r="BB34" i="2"/>
  <c r="AW34" i="2"/>
  <c r="AX34" i="2" s="1"/>
  <c r="AZ159" i="2"/>
  <c r="BA159" i="2" s="1"/>
  <c r="AK149" i="2"/>
  <c r="AL149" i="2" s="1"/>
  <c r="AP149" i="2"/>
  <c r="AQ149" i="2" s="1"/>
  <c r="AW147" i="2"/>
  <c r="AX147" i="2" s="1"/>
  <c r="BB147" i="2"/>
  <c r="BQ94" i="2"/>
  <c r="AW60" i="2"/>
  <c r="AX60" i="2" s="1"/>
  <c r="BB60" i="2"/>
  <c r="AZ105" i="2"/>
  <c r="BA105" i="2" s="1"/>
  <c r="AD159" i="2"/>
  <c r="AW13" i="2"/>
  <c r="AX13" i="2" s="1"/>
  <c r="BB13" i="2"/>
  <c r="AB13" i="2"/>
  <c r="AW164" i="2"/>
  <c r="AX164" i="2" s="1"/>
  <c r="BB164" i="2"/>
  <c r="BB73" i="2"/>
  <c r="AW159" i="2"/>
  <c r="AX159" i="2" s="1"/>
  <c r="BB159" i="2"/>
  <c r="BN167" i="2"/>
  <c r="BD149" i="2"/>
  <c r="BE149" i="2" s="1"/>
  <c r="AV149" i="2"/>
  <c r="AZ149" i="2"/>
  <c r="BA149" i="2" s="1"/>
  <c r="AV96" i="2"/>
  <c r="BB123" i="2"/>
  <c r="AW123" i="2"/>
  <c r="AX123" i="2" s="1"/>
  <c r="AB159" i="2"/>
  <c r="AY76" i="1"/>
  <c r="AZ76" i="1"/>
  <c r="BA76" i="1"/>
  <c r="BB149" i="2" l="1"/>
  <c r="AW149" i="2"/>
  <c r="AX149" i="2" s="1"/>
  <c r="AV167" i="2"/>
  <c r="BB96" i="2"/>
  <c r="BB167" i="2" l="1"/>
  <c r="I73" i="2" l="1"/>
  <c r="G73" i="2"/>
  <c r="AC167" i="2"/>
  <c r="AT96" i="2"/>
  <c r="AL167" i="2"/>
  <c r="Y167" i="2"/>
  <c r="W167" i="2"/>
  <c r="AB167" i="2"/>
  <c r="P73" i="2"/>
  <c r="AT167" i="2"/>
  <c r="AN167" i="2"/>
  <c r="I167" i="2"/>
  <c r="AS96" i="2"/>
  <c r="AQ96" i="2"/>
  <c r="R167" i="2"/>
  <c r="S167" i="2"/>
  <c r="F167" i="2"/>
  <c r="AJ167" i="2"/>
  <c r="AM167" i="2"/>
  <c r="AI167" i="2"/>
  <c r="AK167" i="2"/>
  <c r="N73" i="2"/>
  <c r="AI96" i="2"/>
  <c r="AK96" i="2"/>
  <c r="AL96" i="2"/>
  <c r="H73" i="2"/>
  <c r="AG167" i="2"/>
  <c r="V73" i="2"/>
  <c r="V96" i="2"/>
  <c r="V167" i="2"/>
  <c r="E73" i="2"/>
  <c r="I80" i="2"/>
  <c r="BP96" i="2"/>
  <c r="X73" i="2"/>
  <c r="X96" i="2"/>
  <c r="X167" i="2"/>
  <c r="AI73" i="2"/>
  <c r="AK73" i="2"/>
  <c r="AL73" i="2"/>
  <c r="AW73" i="2"/>
  <c r="AX73" i="2"/>
  <c r="O167" i="2"/>
  <c r="BJ167" i="2"/>
  <c r="AI20" i="1"/>
  <c r="AI74" i="1"/>
  <c r="K73" i="2"/>
  <c r="K96" i="2"/>
  <c r="K167" i="2"/>
  <c r="AA167" i="2"/>
  <c r="AF167" i="2"/>
  <c r="AE73" i="2"/>
  <c r="AE96" i="2"/>
  <c r="AE167" i="2"/>
  <c r="T73" i="2"/>
  <c r="T96" i="2"/>
  <c r="T167" i="2"/>
  <c r="J73" i="2"/>
  <c r="J96" i="2"/>
  <c r="J167" i="2"/>
  <c r="AH167" i="2"/>
  <c r="AE20" i="1"/>
  <c r="AE74" i="1"/>
  <c r="O73" i="2"/>
  <c r="F73" i="2"/>
  <c r="R73" i="2"/>
  <c r="R96" i="2"/>
  <c r="BJ73" i="2"/>
  <c r="BJ96" i="2"/>
  <c r="AC73" i="2"/>
  <c r="AC96" i="2"/>
  <c r="S73" i="2"/>
  <c r="S96" i="2"/>
  <c r="AZ96" i="2"/>
  <c r="BA96" i="2"/>
  <c r="U73" i="2"/>
  <c r="U96" i="2"/>
  <c r="U167" i="2"/>
  <c r="Y73" i="2"/>
  <c r="Y96" i="2"/>
  <c r="W73" i="2"/>
  <c r="W96" i="2"/>
  <c r="AP96" i="2"/>
  <c r="AP167" i="2"/>
  <c r="AQ167" i="2"/>
  <c r="AG96" i="2"/>
  <c r="AG73" i="2"/>
  <c r="AB73" i="2"/>
  <c r="AB96" i="2"/>
  <c r="E80" i="2"/>
  <c r="E96" i="2"/>
  <c r="E167" i="2"/>
  <c r="BL167" i="2"/>
  <c r="AP73" i="2"/>
  <c r="AQ73" i="2"/>
  <c r="AW167" i="2"/>
  <c r="AX167" i="2"/>
  <c r="F80" i="2"/>
  <c r="F96" i="2"/>
  <c r="AD73" i="2"/>
  <c r="AD96" i="2"/>
  <c r="AD167" i="2"/>
  <c r="AA96" i="2"/>
  <c r="AA73" i="2"/>
  <c r="BL73" i="2"/>
  <c r="BL96" i="2"/>
  <c r="Q73" i="2"/>
  <c r="Q96" i="2"/>
  <c r="Q167" i="2"/>
  <c r="AF96" i="2"/>
  <c r="AF73" i="2"/>
  <c r="AH96" i="2"/>
  <c r="AH73" i="2"/>
  <c r="BP73" i="2"/>
  <c r="BQ73" i="2"/>
  <c r="BQ96" i="2"/>
  <c r="Z73" i="2"/>
  <c r="Z96" i="2"/>
  <c r="Z167" i="2"/>
  <c r="M167" i="2"/>
  <c r="N167" i="2"/>
  <c r="H80" i="2"/>
  <c r="H96" i="2"/>
  <c r="H167" i="2"/>
  <c r="BC167" i="2"/>
  <c r="BD167" i="2"/>
  <c r="BE167" i="2"/>
  <c r="G167" i="2"/>
  <c r="G80" i="2"/>
  <c r="G96" i="2"/>
  <c r="I96" i="2"/>
  <c r="D167" i="2"/>
  <c r="M73" i="2"/>
  <c r="M96" i="2"/>
  <c r="N96" i="2"/>
  <c r="O96" i="2"/>
  <c r="AS73" i="2"/>
  <c r="AT73" i="2"/>
  <c r="AR73" i="2"/>
  <c r="AR96" i="2"/>
  <c r="AR167" i="2"/>
  <c r="AS167" i="2"/>
  <c r="BI73" i="2"/>
  <c r="BI96" i="2"/>
  <c r="BI167" i="2"/>
  <c r="BC96" i="2"/>
  <c r="BD96" i="2"/>
  <c r="BE96" i="2"/>
  <c r="AO167" i="2"/>
  <c r="AZ167" i="2"/>
  <c r="BA167" i="2"/>
  <c r="AJ96" i="2"/>
  <c r="AM96" i="2"/>
  <c r="AN96" i="2"/>
  <c r="D73" i="2"/>
  <c r="D80" i="2"/>
  <c r="D96" i="2"/>
  <c r="BQ167" i="2"/>
  <c r="AJ73" i="2"/>
  <c r="AM73" i="2"/>
  <c r="AN73" i="2"/>
  <c r="BC73" i="2"/>
  <c r="BD73" i="2"/>
  <c r="BE73" i="2"/>
  <c r="BG73" i="2"/>
  <c r="BG96" i="2"/>
  <c r="BG167" i="2"/>
  <c r="AU73" i="2"/>
  <c r="AU96" i="2"/>
  <c r="AU167" i="2"/>
  <c r="AZ73" i="2"/>
  <c r="BA73" i="2"/>
  <c r="BK73" i="2"/>
  <c r="BK96" i="2"/>
  <c r="BK167" i="2"/>
  <c r="BP167" i="2"/>
  <c r="L73" i="2"/>
  <c r="L96" i="2"/>
  <c r="L167" i="2"/>
  <c r="AO73" i="2"/>
  <c r="AO96" i="2"/>
  <c r="AW96" i="2"/>
  <c r="AX96" i="2"/>
</calcChain>
</file>

<file path=xl/comments1.xml><?xml version="1.0" encoding="utf-8"?>
<comments xmlns="http://schemas.openxmlformats.org/spreadsheetml/2006/main">
  <authors>
    <author>Karen Brochu</author>
    <author>kbrochu</author>
  </authors>
  <commentList>
    <comment ref="L5" authorId="0">
      <text>
        <r>
          <rPr>
            <b/>
            <sz val="9"/>
            <color indexed="81"/>
            <rFont val="Tahoma"/>
            <family val="2"/>
          </rPr>
          <t>Karen Brochu:</t>
        </r>
        <r>
          <rPr>
            <sz val="9"/>
            <color indexed="81"/>
            <rFont val="Tahoma"/>
            <family val="2"/>
          </rPr>
          <t xml:space="preserve">
Original estimate $16,414,992 based on prior year - did not raise alll of 2.5% increase - difference of +$3,418.
</t>
        </r>
      </text>
    </comment>
    <comment ref="M5" authorId="0">
      <text>
        <r>
          <rPr>
            <b/>
            <sz val="9"/>
            <color indexed="81"/>
            <rFont val="Tahoma"/>
            <family val="2"/>
          </rPr>
          <t>Karen Brochu:</t>
        </r>
        <r>
          <rPr>
            <sz val="9"/>
            <color indexed="81"/>
            <rFont val="Tahoma"/>
            <family val="2"/>
          </rPr>
          <t xml:space="preserve">
Difference of $3,418.00 - unused levy capacity from prior year.</t>
        </r>
      </text>
    </comment>
    <comment ref="L6" authorId="0">
      <text>
        <r>
          <rPr>
            <b/>
            <sz val="9"/>
            <color indexed="81"/>
            <rFont val="Tahoma"/>
            <family val="2"/>
          </rPr>
          <t>Karen Brochu:</t>
        </r>
        <r>
          <rPr>
            <sz val="9"/>
            <color indexed="81"/>
            <rFont val="Tahoma"/>
            <family val="2"/>
          </rPr>
          <t xml:space="preserve">
Original amount based on prior year actual levy of $16,414,992 x 2.5% ($410,375) - difference of +$85.00</t>
        </r>
      </text>
    </comment>
    <comment ref="M6" authorId="0">
      <text>
        <r>
          <rPr>
            <b/>
            <sz val="9"/>
            <color indexed="81"/>
            <rFont val="Tahoma"/>
            <family val="2"/>
          </rPr>
          <t>Karen Brochu:</t>
        </r>
        <r>
          <rPr>
            <sz val="9"/>
            <color indexed="81"/>
            <rFont val="Tahoma"/>
            <family val="2"/>
          </rPr>
          <t xml:space="preserve">
Original amount $425,355.00 - increase of $85.00</t>
        </r>
      </text>
    </comment>
    <comment ref="N6" authorId="0">
      <text>
        <r>
          <rPr>
            <b/>
            <sz val="9"/>
            <color indexed="81"/>
            <rFont val="Tahoma"/>
            <family val="2"/>
          </rPr>
          <t>Karen Brochu:</t>
        </r>
        <r>
          <rPr>
            <sz val="9"/>
            <color indexed="81"/>
            <rFont val="Tahoma"/>
            <family val="2"/>
          </rPr>
          <t xml:space="preserve">
Excess Levy capacity of $2,252.43</t>
        </r>
      </text>
    </comment>
    <comment ref="Q6" authorId="0">
      <text>
        <r>
          <rPr>
            <b/>
            <sz val="9"/>
            <color indexed="81"/>
            <rFont val="Tahoma"/>
            <family val="2"/>
          </rPr>
          <t>Karen Brochu:</t>
        </r>
        <r>
          <rPr>
            <sz val="9"/>
            <color indexed="81"/>
            <rFont val="Tahoma"/>
            <family val="2"/>
          </rPr>
          <t xml:space="preserve">
Excess levy capacity of $201,190.87.</t>
        </r>
      </text>
    </comment>
    <comment ref="R6" authorId="0">
      <text>
        <r>
          <rPr>
            <b/>
            <sz val="9"/>
            <color indexed="81"/>
            <rFont val="Tahoma"/>
            <family val="2"/>
          </rPr>
          <t>Karen Brochu:</t>
        </r>
        <r>
          <rPr>
            <sz val="9"/>
            <color indexed="81"/>
            <rFont val="Tahoma"/>
            <family val="2"/>
          </rPr>
          <t xml:space="preserve">
Excess Levy Capacity of $9,786.23</t>
        </r>
      </text>
    </comment>
    <comment ref="K7" authorId="0">
      <text>
        <r>
          <rPr>
            <b/>
            <sz val="9"/>
            <color indexed="81"/>
            <rFont val="Tahoma"/>
            <family val="2"/>
          </rPr>
          <t>Karen Brochu:</t>
        </r>
        <r>
          <rPr>
            <sz val="9"/>
            <color indexed="81"/>
            <rFont val="Tahoma"/>
            <family val="2"/>
          </rPr>
          <t xml:space="preserve">
Per Dave in Assessors Office New Growth as of 11/18/09 is $130,170.  Orginal estimate was $122,375.  Difference of +$7,795.
</t>
        </r>
      </text>
    </comment>
    <comment ref="L7" authorId="1">
      <text>
        <r>
          <rPr>
            <b/>
            <sz val="9"/>
            <color indexed="81"/>
            <rFont val="Tahoma"/>
            <family val="2"/>
          </rPr>
          <t>kbrochu:</t>
        </r>
        <r>
          <rPr>
            <sz val="9"/>
            <color indexed="81"/>
            <rFont val="Tahoma"/>
            <family val="2"/>
          </rPr>
          <t xml:space="preserve">
Based upon certified growth - Original estimate $150k
</t>
        </r>
      </text>
    </comment>
    <comment ref="M7" authorId="0">
      <text>
        <r>
          <rPr>
            <b/>
            <sz val="9"/>
            <color indexed="81"/>
            <rFont val="Tahoma"/>
            <family val="2"/>
          </rPr>
          <t>Karen Brochu:</t>
        </r>
        <r>
          <rPr>
            <sz val="9"/>
            <color indexed="81"/>
            <rFont val="Tahoma"/>
            <family val="2"/>
          </rPr>
          <t xml:space="preserve">
Original estimate $350,000.00 - Increase of $75,377 ($425,377), +$22,734 based on certified estimate of $448,111.
</t>
        </r>
      </text>
    </comment>
    <comment ref="R7" authorId="0">
      <text>
        <r>
          <rPr>
            <b/>
            <sz val="9"/>
            <color indexed="81"/>
            <rFont val="Tahoma"/>
            <family val="2"/>
          </rPr>
          <t>Karen Brochu:</t>
        </r>
        <r>
          <rPr>
            <sz val="9"/>
            <color indexed="81"/>
            <rFont val="Tahoma"/>
            <family val="2"/>
          </rPr>
          <t xml:space="preserve">
New Growth approved at $360,856
</t>
        </r>
      </text>
    </comment>
    <comment ref="S7" authorId="0">
      <text>
        <r>
          <rPr>
            <b/>
            <sz val="9"/>
            <color indexed="81"/>
            <rFont val="Tahoma"/>
            <family val="2"/>
          </rPr>
          <t>Karen Brochu:</t>
        </r>
        <r>
          <rPr>
            <sz val="9"/>
            <color indexed="81"/>
            <rFont val="Tahoma"/>
            <family val="2"/>
          </rPr>
          <t xml:space="preserve">
Changed growth figure from $300k to $487,955 based on certified new growth.  Includes FY16 amended new growth of $1,647 - omitted personal property tax bills.
</t>
        </r>
      </text>
    </comment>
    <comment ref="T7" authorId="0">
      <text>
        <r>
          <rPr>
            <b/>
            <sz val="9"/>
            <color indexed="81"/>
            <rFont val="Tahoma"/>
            <family val="2"/>
          </rPr>
          <t>Karen Brochu:</t>
        </r>
        <r>
          <rPr>
            <sz val="9"/>
            <color indexed="81"/>
            <rFont val="Tahoma"/>
            <family val="2"/>
          </rPr>
          <t xml:space="preserve">
Real Estate Growth $385,692 - Personal Property Growth $95,804</t>
        </r>
      </text>
    </comment>
    <comment ref="L8" authorId="1">
      <text>
        <r>
          <rPr>
            <b/>
            <sz val="9"/>
            <color indexed="81"/>
            <rFont val="Tahoma"/>
            <family val="2"/>
          </rPr>
          <t>kbrochu:</t>
        </r>
        <r>
          <rPr>
            <sz val="9"/>
            <color indexed="81"/>
            <rFont val="Tahoma"/>
            <family val="2"/>
          </rPr>
          <t xml:space="preserve">
Change in Track &amp; Field Bond - original debt schedule had payment due in FY10. From $989,782 to $991,724 - difference of +$1,942
</t>
        </r>
      </text>
    </comment>
    <comment ref="S8" authorId="0">
      <text>
        <r>
          <rPr>
            <b/>
            <sz val="9"/>
            <color indexed="81"/>
            <rFont val="Tahoma"/>
            <family val="2"/>
          </rPr>
          <t>Karen Brochu:</t>
        </r>
        <r>
          <rPr>
            <sz val="9"/>
            <color indexed="81"/>
            <rFont val="Tahoma"/>
            <family val="2"/>
          </rPr>
          <t xml:space="preserve">
Adjusted down for excess levy capacity of $1,241.20</t>
        </r>
      </text>
    </comment>
    <comment ref="U8" authorId="0">
      <text>
        <r>
          <rPr>
            <b/>
            <sz val="9"/>
            <color indexed="81"/>
            <rFont val="Tahoma"/>
            <family val="2"/>
          </rPr>
          <t>Karen Brochu:</t>
        </r>
        <r>
          <rPr>
            <sz val="9"/>
            <color indexed="81"/>
            <rFont val="Tahoma"/>
            <family val="2"/>
          </rPr>
          <t xml:space="preserve">
Updated for 4/25/18 Pavement Management Bond.</t>
        </r>
      </text>
    </comment>
    <comment ref="K16" authorId="1">
      <text>
        <r>
          <rPr>
            <b/>
            <sz val="9"/>
            <color indexed="81"/>
            <rFont val="Tahoma"/>
            <family val="2"/>
          </rPr>
          <t>kbrochu:</t>
        </r>
        <r>
          <rPr>
            <sz val="9"/>
            <color indexed="81"/>
            <rFont val="Tahoma"/>
            <family val="2"/>
          </rPr>
          <t xml:space="preserve">
Based on 11/5/09 revised Cherry Sheet</t>
        </r>
      </text>
    </comment>
    <comment ref="Q16" authorId="0">
      <text>
        <r>
          <rPr>
            <b/>
            <sz val="9"/>
            <color indexed="81"/>
            <rFont val="Tahoma"/>
            <family val="2"/>
          </rPr>
          <t>Karen Brochu:</t>
        </r>
        <r>
          <rPr>
            <sz val="9"/>
            <color indexed="81"/>
            <rFont val="Tahoma"/>
            <family val="2"/>
          </rPr>
          <t xml:space="preserve">
Includes $183,618 in Smart Growth School Cost Reimbursment and ($26,879) difference from TM estimates.</t>
        </r>
      </text>
    </comment>
    <comment ref="R16" authorId="0">
      <text>
        <r>
          <rPr>
            <b/>
            <sz val="9"/>
            <color indexed="81"/>
            <rFont val="Tahoma"/>
            <family val="2"/>
          </rPr>
          <t>Karen Brochu:</t>
        </r>
        <r>
          <rPr>
            <sz val="9"/>
            <color indexed="81"/>
            <rFont val="Tahoma"/>
            <family val="2"/>
          </rPr>
          <t xml:space="preserve">
40S Reimbursement  - $119,257
</t>
        </r>
      </text>
    </comment>
    <comment ref="L19" authorId="0">
      <text>
        <r>
          <rPr>
            <b/>
            <sz val="9"/>
            <color indexed="81"/>
            <rFont val="Tahoma"/>
            <family val="2"/>
          </rPr>
          <t>Karen Brochu:</t>
        </r>
        <r>
          <rPr>
            <sz val="9"/>
            <color indexed="81"/>
            <rFont val="Tahoma"/>
            <family val="2"/>
          </rPr>
          <t xml:space="preserve">
Original estimate $6,030,068 - difference of ($47,749)</t>
        </r>
      </text>
    </comment>
    <comment ref="R26" authorId="0">
      <text>
        <r>
          <rPr>
            <b/>
            <sz val="9"/>
            <color indexed="81"/>
            <rFont val="Tahoma"/>
            <family val="2"/>
          </rPr>
          <t>Karen Brochu:</t>
        </r>
        <r>
          <rPr>
            <sz val="9"/>
            <color indexed="81"/>
            <rFont val="Tahoma"/>
            <family val="2"/>
          </rPr>
          <t xml:space="preserve">
Estimate reduced from $2,739,473 to $2,691,770 to reflect increase in 40S reimbursement.</t>
        </r>
      </text>
    </comment>
    <comment ref="AR26" authorId="0">
      <text>
        <r>
          <rPr>
            <b/>
            <sz val="9"/>
            <color indexed="81"/>
            <rFont val="Tahoma"/>
            <family val="2"/>
          </rPr>
          <t>Karen Brochu:</t>
        </r>
        <r>
          <rPr>
            <sz val="9"/>
            <color indexed="81"/>
            <rFont val="Tahoma"/>
            <family val="2"/>
          </rPr>
          <t xml:space="preserve">
Original estimate of $384,489 - Increase of $7,519.00</t>
        </r>
      </text>
    </comment>
    <comment ref="AN27" authorId="1">
      <text>
        <r>
          <rPr>
            <b/>
            <sz val="9"/>
            <color indexed="81"/>
            <rFont val="Tahoma"/>
            <family val="2"/>
          </rPr>
          <t>kbrochu:</t>
        </r>
        <r>
          <rPr>
            <sz val="9"/>
            <color indexed="81"/>
            <rFont val="Tahoma"/>
            <family val="2"/>
          </rPr>
          <t xml:space="preserve">
Based on 11/5/09 revised Cherry Sheet.</t>
        </r>
      </text>
    </comment>
    <comment ref="AR27" authorId="0">
      <text>
        <r>
          <rPr>
            <b/>
            <sz val="9"/>
            <color indexed="81"/>
            <rFont val="Tahoma"/>
            <family val="2"/>
          </rPr>
          <t>Karen Brochu:</t>
        </r>
        <r>
          <rPr>
            <sz val="9"/>
            <color indexed="81"/>
            <rFont val="Tahoma"/>
            <family val="2"/>
          </rPr>
          <t xml:space="preserve">
Original estimate of $130,330.  Increase of $4.00.</t>
        </r>
      </text>
    </comment>
    <comment ref="AW27" authorId="0">
      <text>
        <r>
          <rPr>
            <b/>
            <sz val="9"/>
            <color indexed="81"/>
            <rFont val="Tahoma"/>
            <family val="2"/>
          </rPr>
          <t>Karen Brochu:</t>
        </r>
        <r>
          <rPr>
            <sz val="9"/>
            <color indexed="81"/>
            <rFont val="Tahoma"/>
            <family val="2"/>
          </rPr>
          <t xml:space="preserve">
Based on actual cherry sheet.</t>
        </r>
      </text>
    </comment>
    <comment ref="AR28" authorId="0">
      <text>
        <r>
          <rPr>
            <b/>
            <sz val="9"/>
            <color indexed="81"/>
            <rFont val="Tahoma"/>
            <family val="2"/>
          </rPr>
          <t>Karen Brochu:</t>
        </r>
        <r>
          <rPr>
            <sz val="9"/>
            <color indexed="81"/>
            <rFont val="Tahoma"/>
            <family val="2"/>
          </rPr>
          <t xml:space="preserve">
Original estimate of $600,220 - Increase of $71,386.00</t>
        </r>
      </text>
    </comment>
    <comment ref="L31" authorId="1">
      <text>
        <r>
          <rPr>
            <b/>
            <sz val="9"/>
            <color indexed="81"/>
            <rFont val="Tahoma"/>
            <family val="2"/>
          </rPr>
          <t>kbrochu:</t>
        </r>
        <r>
          <rPr>
            <sz val="9"/>
            <color indexed="81"/>
            <rFont val="Tahoma"/>
            <family val="2"/>
          </rPr>
          <t xml:space="preserve">
Free Cash certified 11/4/10 - DOR did not hit undesignated fund balance for the ice storm deficit of $143,591 - still has to be raised on FY11 Recap.  Original estimate $96,250.</t>
        </r>
      </text>
    </comment>
    <comment ref="M31" authorId="0">
      <text>
        <r>
          <rPr>
            <b/>
            <sz val="9"/>
            <color indexed="81"/>
            <rFont val="Tahoma"/>
            <family val="2"/>
          </rPr>
          <t>Karen Brochu:</t>
        </r>
        <r>
          <rPr>
            <sz val="9"/>
            <color indexed="81"/>
            <rFont val="Tahoma"/>
            <family val="2"/>
          </rPr>
          <t xml:space="preserve">
FY13 Recap</t>
        </r>
      </text>
    </comment>
    <comment ref="R34" authorId="0">
      <text>
        <r>
          <rPr>
            <b/>
            <sz val="9"/>
            <color indexed="81"/>
            <rFont val="Tahoma"/>
            <family val="2"/>
          </rPr>
          <t>Karen Brochu:</t>
        </r>
        <r>
          <rPr>
            <sz val="9"/>
            <color indexed="81"/>
            <rFont val="Tahoma"/>
            <family val="2"/>
          </rPr>
          <t xml:space="preserve">
Dump/Sander &amp; Street Sweeper - Raise &amp; Appropriate $137,708 - Unexpended Capital $9,524.00 - Borrow $222,768.
Sewer Borrowing $300,000.00
</t>
        </r>
      </text>
    </comment>
    <comment ref="AW35" authorId="0">
      <text>
        <r>
          <rPr>
            <b/>
            <sz val="9"/>
            <color indexed="81"/>
            <rFont val="Tahoma"/>
            <family val="2"/>
          </rPr>
          <t>Karen Brochu:</t>
        </r>
        <r>
          <rPr>
            <sz val="9"/>
            <color indexed="81"/>
            <rFont val="Tahoma"/>
            <family val="2"/>
          </rPr>
          <t xml:space="preserve">
Original amount used for Town Meeting $986,268.  Single payment option is $967,652. Difference of $18,616.
</t>
        </r>
      </text>
    </comment>
    <comment ref="AW40" authorId="0">
      <text>
        <r>
          <rPr>
            <b/>
            <sz val="9"/>
            <color indexed="81"/>
            <rFont val="Tahoma"/>
            <family val="2"/>
          </rPr>
          <t>Karen Brochu:</t>
        </r>
        <r>
          <rPr>
            <sz val="9"/>
            <color indexed="81"/>
            <rFont val="Tahoma"/>
            <family val="2"/>
          </rPr>
          <t xml:space="preserve">
Includes $222,768 in borrowing for Dump/Sander and Street Sweeper.</t>
        </r>
      </text>
    </comment>
    <comment ref="AQ61" authorId="0">
      <text>
        <r>
          <rPr>
            <b/>
            <sz val="9"/>
            <color indexed="81"/>
            <rFont val="Tahoma"/>
            <family val="2"/>
          </rPr>
          <t>Karen Brochu:</t>
        </r>
        <r>
          <rPr>
            <sz val="9"/>
            <color indexed="81"/>
            <rFont val="Tahoma"/>
            <family val="2"/>
          </rPr>
          <t xml:space="preserve">
Cruiser Article $48,000
Police Detail Article $5,000
Summer Street Article $56,000</t>
        </r>
      </text>
    </comment>
    <comment ref="AR62" authorId="0">
      <text>
        <r>
          <rPr>
            <b/>
            <sz val="9"/>
            <color indexed="81"/>
            <rFont val="Tahoma"/>
            <family val="2"/>
          </rPr>
          <t>Karen Brochu:</t>
        </r>
        <r>
          <rPr>
            <sz val="9"/>
            <color indexed="81"/>
            <rFont val="Tahoma"/>
            <family val="2"/>
          </rPr>
          <t xml:space="preserve">
Prior year invoice for Daniel Hill.</t>
        </r>
      </text>
    </comment>
    <comment ref="AX76" authorId="0">
      <text>
        <r>
          <rPr>
            <b/>
            <sz val="9"/>
            <color indexed="81"/>
            <rFont val="Tahoma"/>
            <family val="2"/>
          </rPr>
          <t>Karen Brochu:</t>
        </r>
        <r>
          <rPr>
            <sz val="9"/>
            <color indexed="81"/>
            <rFont val="Tahoma"/>
            <family val="2"/>
          </rPr>
          <t xml:space="preserve">
Excess Levy Capacity of $1,241.20
</t>
        </r>
      </text>
    </comment>
    <comment ref="BA76" authorId="0">
      <text>
        <r>
          <rPr>
            <b/>
            <sz val="9"/>
            <color indexed="81"/>
            <rFont val="Tahoma"/>
            <family val="2"/>
          </rPr>
          <t>Karen Brochu:</t>
        </r>
        <r>
          <rPr>
            <sz val="9"/>
            <color indexed="81"/>
            <rFont val="Tahoma"/>
            <family val="2"/>
          </rPr>
          <t xml:space="preserve">
Excess Levy Capacity of $928.99</t>
        </r>
      </text>
    </comment>
  </commentList>
</comments>
</file>

<file path=xl/comments2.xml><?xml version="1.0" encoding="utf-8"?>
<comments xmlns="http://schemas.openxmlformats.org/spreadsheetml/2006/main">
  <authors>
    <author>Karen Brochu</author>
  </authors>
  <commentList>
    <comment ref="BF31" authorId="0">
      <text>
        <r>
          <rPr>
            <b/>
            <sz val="9"/>
            <color indexed="81"/>
            <rFont val="Tahoma"/>
            <family val="2"/>
          </rPr>
          <t>Karen Brochu:</t>
        </r>
        <r>
          <rPr>
            <sz val="9"/>
            <color indexed="81"/>
            <rFont val="Tahoma"/>
            <family val="2"/>
          </rPr>
          <t xml:space="preserve">
$87,512 in School Dept expenditures</t>
        </r>
      </text>
    </comment>
    <comment ref="BH31" authorId="0">
      <text>
        <r>
          <rPr>
            <b/>
            <sz val="9"/>
            <color indexed="81"/>
            <rFont val="Tahoma"/>
            <family val="2"/>
          </rPr>
          <t>Karen Brochu:</t>
        </r>
        <r>
          <rPr>
            <sz val="9"/>
            <color indexed="81"/>
            <rFont val="Tahoma"/>
            <family val="2"/>
          </rPr>
          <t xml:space="preserve">
$50,000 included in School Expenditures</t>
        </r>
      </text>
    </comment>
    <comment ref="BH155" authorId="0">
      <text>
        <r>
          <rPr>
            <b/>
            <sz val="9"/>
            <color indexed="81"/>
            <rFont val="Tahoma"/>
            <family val="2"/>
          </rPr>
          <t>Karen Brochu:</t>
        </r>
        <r>
          <rPr>
            <sz val="9"/>
            <color indexed="81"/>
            <rFont val="Tahoma"/>
            <family val="2"/>
          </rPr>
          <t xml:space="preserve">
Reduced by $2,896 based on actual assessment
</t>
        </r>
      </text>
    </comment>
  </commentList>
</comments>
</file>

<file path=xl/sharedStrings.xml><?xml version="1.0" encoding="utf-8"?>
<sst xmlns="http://schemas.openxmlformats.org/spreadsheetml/2006/main" count="522" uniqueCount="389">
  <si>
    <t xml:space="preserve">PROJECTED REVENUES/EXPENDITURES FY2019 Town Manager's Recommendation </t>
  </si>
  <si>
    <t>FY 03 ACTUAL</t>
  </si>
  <si>
    <t>FY 04 ACTUAL</t>
  </si>
  <si>
    <t>FY05 BUDGETED</t>
  </si>
  <si>
    <t>FY07 PROJECTED</t>
  </si>
  <si>
    <t>FY04 ACTUAL</t>
  </si>
  <si>
    <t>FY06 LEVEL FUND</t>
  </si>
  <si>
    <t>FY07 PROPOSED</t>
  </si>
  <si>
    <t>FY07 LEVEL SERV</t>
  </si>
  <si>
    <t>FY07 CAFO REC</t>
  </si>
  <si>
    <t>FY08 PROP DEPT</t>
  </si>
  <si>
    <t>FY08 CAFO REC</t>
  </si>
  <si>
    <t>FY08 CAFO REC W/</t>
  </si>
  <si>
    <t>FY06 BUDGETED</t>
  </si>
  <si>
    <t>FY06 ACTUAL</t>
  </si>
  <si>
    <t>FY07 BUDGETED</t>
  </si>
  <si>
    <t>FY08 BUDGETED</t>
  </si>
  <si>
    <t>FY09 BUDGETED</t>
  </si>
  <si>
    <t>FY10 BUDGETED</t>
  </si>
  <si>
    <t>FY11 BUDGETED</t>
  </si>
  <si>
    <t>FY12 BUDGETED</t>
  </si>
  <si>
    <t>FY13 BUDGETED</t>
  </si>
  <si>
    <t>FY14 BUDGETED</t>
  </si>
  <si>
    <t>FY15 BUDGETED</t>
  </si>
  <si>
    <t>FY16 BUDGETED</t>
  </si>
  <si>
    <t>FY17 BUDGETED</t>
  </si>
  <si>
    <t>FY18 BUDGETED</t>
  </si>
  <si>
    <t>FY19 BUDGETED</t>
  </si>
  <si>
    <t xml:space="preserve">EXPENDITURES </t>
  </si>
  <si>
    <t>PER WARRANT</t>
  </si>
  <si>
    <t>W/ OVERRIDE</t>
  </si>
  <si>
    <t>CONTRACTS/OVERRIDE</t>
  </si>
  <si>
    <t>FY09 FIN COMM REC</t>
  </si>
  <si>
    <t>FY2010 CAFO REC</t>
  </si>
  <si>
    <t>FY11 2/15/10 Town</t>
  </si>
  <si>
    <t>FY13 TOWN MANAGER'S</t>
  </si>
  <si>
    <t>FY18 LEVEL SERVICE</t>
  </si>
  <si>
    <t xml:space="preserve">FY18 ABOVE LEVEL </t>
  </si>
  <si>
    <t>PROPERTY TAXES</t>
  </si>
  <si>
    <t># State Aid Cut $104K</t>
  </si>
  <si>
    <t>Lowered by 1.5%</t>
  </si>
  <si>
    <t>ATM</t>
  </si>
  <si>
    <t>Manager Rec</t>
  </si>
  <si>
    <t>OVERRIDE BUDGET</t>
  </si>
  <si>
    <t>Prior Year Levy Limit</t>
  </si>
  <si>
    <t>Maturing Debt</t>
  </si>
  <si>
    <t xml:space="preserve">2 1/2% Increase  </t>
  </si>
  <si>
    <t>Interest/Issuance Costs on Debt</t>
  </si>
  <si>
    <t>Estimated New Growth</t>
  </si>
  <si>
    <t>Gen Gov Unclassified</t>
  </si>
  <si>
    <t>Debt Exclusions</t>
  </si>
  <si>
    <t>General Government</t>
  </si>
  <si>
    <t xml:space="preserve">Override </t>
  </si>
  <si>
    <t>Central Purchasing</t>
  </si>
  <si>
    <t>Protection</t>
  </si>
  <si>
    <t>TAXES: Total</t>
  </si>
  <si>
    <t>Health &amp; Sanitation</t>
  </si>
  <si>
    <t>Public Assistance</t>
  </si>
  <si>
    <t>Facilities &amp; Buildings</t>
  </si>
  <si>
    <t>Solid Waste/Recycling Progam</t>
  </si>
  <si>
    <t>STATE PROVIDED FUNDS</t>
  </si>
  <si>
    <t>Department of Public Works</t>
  </si>
  <si>
    <t xml:space="preserve">Cherry Sheet/State Aid                                 </t>
  </si>
  <si>
    <t>Schools</t>
  </si>
  <si>
    <t>Police Career Incentive</t>
  </si>
  <si>
    <t>Library</t>
  </si>
  <si>
    <t>Additional Aid</t>
  </si>
  <si>
    <t>Subtotal State Aid</t>
  </si>
  <si>
    <t>Omnibus Total</t>
  </si>
  <si>
    <t>Changes to FY09 Budget (FY10 Recap)</t>
  </si>
  <si>
    <t>Changes to FY10 Budget (FY11 Recap)</t>
  </si>
  <si>
    <t>Prior Year Budget Adjustments</t>
  </si>
  <si>
    <t>PROJECTED  LOCAL RECEIPTS</t>
  </si>
  <si>
    <t>CHERRY SHEET CHARGES</t>
  </si>
  <si>
    <t xml:space="preserve">Local Receipts </t>
  </si>
  <si>
    <t>Cherry Sheet Offset</t>
  </si>
  <si>
    <t>Subtotal Receipts</t>
  </si>
  <si>
    <t>State &amp; County</t>
  </si>
  <si>
    <t>Choice/Charter Assessments</t>
  </si>
  <si>
    <t>OTHER REVENUES</t>
  </si>
  <si>
    <t>Changes to FY09 Assessments</t>
  </si>
  <si>
    <t>Overlay Surplus</t>
  </si>
  <si>
    <t xml:space="preserve">Free Cash </t>
  </si>
  <si>
    <t>Subtotal CS Charges</t>
  </si>
  <si>
    <t>Unexpended Articles</t>
  </si>
  <si>
    <t>Borrowing - Lane Property</t>
  </si>
  <si>
    <t xml:space="preserve">Borrowing </t>
  </si>
  <si>
    <t>Allow for Abatements/Exemptions</t>
  </si>
  <si>
    <t>Zoning Incentive Stabilization Fund</t>
  </si>
  <si>
    <t xml:space="preserve">Worc Cty Retirement Assessment </t>
  </si>
  <si>
    <t>MSBA Reimbursements</t>
  </si>
  <si>
    <t>Tax Title</t>
  </si>
  <si>
    <t>ARRA Funding - School</t>
  </si>
  <si>
    <t>ART 5 5/5/08 (5/1/09 FY10 Recap)</t>
  </si>
  <si>
    <t>Layoffs</t>
  </si>
  <si>
    <t>FY2009 Revenue Reduction (5/1/09 FY10 Recap)</t>
  </si>
  <si>
    <t>Capital Articles</t>
  </si>
  <si>
    <t>Design, Construct Sewers</t>
  </si>
  <si>
    <t>Trust &amp; Special Revenue Funds</t>
  </si>
  <si>
    <t>Cemetery Improvements</t>
  </si>
  <si>
    <t>Sewer Enterprise</t>
  </si>
  <si>
    <t>Included in Enterprise</t>
  </si>
  <si>
    <t>General Fund Articles</t>
  </si>
  <si>
    <t>Transfer from Meadow Woods Bett (FY11 Recap)</t>
  </si>
  <si>
    <t>Teachers Deferral</t>
  </si>
  <si>
    <t>Sewer Betterments</t>
  </si>
  <si>
    <t>Police Revolving Detail</t>
  </si>
  <si>
    <t>Water Betterments</t>
  </si>
  <si>
    <t>Reserve Capacity Stabilization Fund</t>
  </si>
  <si>
    <t>Student Transportation Offset Receipt Fund</t>
  </si>
  <si>
    <t>Special Purpose Stabilization Fund(s)</t>
  </si>
  <si>
    <t>Sewer Enterprise Retained Earnings</t>
  </si>
  <si>
    <t>Sewer Capital Reserve</t>
  </si>
  <si>
    <t>Cemetery Sale of Lots Account</t>
  </si>
  <si>
    <t>Town Hall Chimney Grant</t>
  </si>
  <si>
    <t>Artificial Turf Revolving Fund</t>
  </si>
  <si>
    <t>Sale of Real Estate Revolving Account</t>
  </si>
  <si>
    <t>School Feasibility Study</t>
  </si>
  <si>
    <t xml:space="preserve"> Subtotal Other Revenue</t>
  </si>
  <si>
    <t>Court Judgements</t>
  </si>
  <si>
    <t>OPEB Liability</t>
  </si>
  <si>
    <t>Sewer OPEB Liability</t>
  </si>
  <si>
    <t>Snow Removal Deficit</t>
  </si>
  <si>
    <t>Lane Property</t>
  </si>
  <si>
    <t>Other Financing Sources</t>
  </si>
  <si>
    <t>Sewer Construction Project</t>
  </si>
  <si>
    <t>Sewer Project</t>
  </si>
  <si>
    <t xml:space="preserve">Transfer to Stabilization Fund </t>
  </si>
  <si>
    <t>Septic Loan Revenue</t>
  </si>
  <si>
    <t xml:space="preserve">Prior Year Expense </t>
  </si>
  <si>
    <t>Prior Year Expense</t>
  </si>
  <si>
    <t>Dispatcher's Contract Settlement</t>
  </si>
  <si>
    <t>Nov 2005 STM Appropriations</t>
  </si>
  <si>
    <t>FY04 Allowance Abate/Exempt</t>
  </si>
  <si>
    <t xml:space="preserve"> </t>
  </si>
  <si>
    <t>Recycling Enterprise Deficit</t>
  </si>
  <si>
    <t>Water Enterprise Fund</t>
  </si>
  <si>
    <t>Water Enterprise</t>
  </si>
  <si>
    <t>Solid Waste Enterprise Fund</t>
  </si>
  <si>
    <t>Solid Waste Enterprise</t>
  </si>
  <si>
    <t>Sewer Enterprise Fund</t>
  </si>
  <si>
    <t>TOTAL REVENUE</t>
  </si>
  <si>
    <t>TOTAL EXPENDITURES</t>
  </si>
  <si>
    <t>Credit/(Debit)</t>
  </si>
  <si>
    <t>Estimated Snow Removal Deficit</t>
  </si>
  <si>
    <t>FY 2001 Omnibus Budget</t>
  </si>
  <si>
    <t>FY 2019 Projected Omnibus Budget</t>
  </si>
  <si>
    <t>UMAS</t>
  </si>
  <si>
    <t xml:space="preserve">Line </t>
  </si>
  <si>
    <t>Expended</t>
  </si>
  <si>
    <t>Variance</t>
  </si>
  <si>
    <t xml:space="preserve">Requested </t>
  </si>
  <si>
    <t xml:space="preserve">Budgeted </t>
  </si>
  <si>
    <t>% Increase</t>
  </si>
  <si>
    <t>FY06</t>
  </si>
  <si>
    <t>$ Change 05 Voted/</t>
  </si>
  <si>
    <t>%</t>
  </si>
  <si>
    <t>Proposed</t>
  </si>
  <si>
    <t>Level Service</t>
  </si>
  <si>
    <t>$ Change</t>
  </si>
  <si>
    <t>$ Change 06 Level Fund/</t>
  </si>
  <si>
    <t>% Chg</t>
  </si>
  <si>
    <t>%Change</t>
  </si>
  <si>
    <t>Dept Proposed</t>
  </si>
  <si>
    <t>CAFO Rec</t>
  </si>
  <si>
    <t xml:space="preserve">$ chg FY07 to </t>
  </si>
  <si>
    <t xml:space="preserve">% chg FY07 to </t>
  </si>
  <si>
    <t>$ chg FY07 to FY08</t>
  </si>
  <si>
    <t>% chg FY07 to FY08</t>
  </si>
  <si>
    <t>CAFO</t>
  </si>
  <si>
    <t xml:space="preserve">FY2009 </t>
  </si>
  <si>
    <t>FY2009 Finance Comm</t>
  </si>
  <si>
    <t>$ chg FY08 to FY09</t>
  </si>
  <si>
    <t>% chg FY08 to 09</t>
  </si>
  <si>
    <t>$ chg FY08 to</t>
  </si>
  <si>
    <t xml:space="preserve">% chg FY08 to </t>
  </si>
  <si>
    <t>% Change</t>
  </si>
  <si>
    <t xml:space="preserve">FY2011 Town </t>
  </si>
  <si>
    <t>FY12</t>
  </si>
  <si>
    <t>5/7/11 ATM</t>
  </si>
  <si>
    <t>Budgeted</t>
  </si>
  <si>
    <t>FY2013 Dept</t>
  </si>
  <si>
    <t xml:space="preserve">Expended </t>
  </si>
  <si>
    <t>FY2013 Town</t>
  </si>
  <si>
    <t xml:space="preserve">FY2013 </t>
  </si>
  <si>
    <t>$ change</t>
  </si>
  <si>
    <t>% change</t>
  </si>
  <si>
    <t>FY14</t>
  </si>
  <si>
    <t>FY15</t>
  </si>
  <si>
    <t>FY16 Town</t>
  </si>
  <si>
    <t>FY16</t>
  </si>
  <si>
    <t xml:space="preserve">FY17 </t>
  </si>
  <si>
    <t>FY18 Level</t>
  </si>
  <si>
    <t>FY18 Above Level</t>
  </si>
  <si>
    <t>FY18 11/28/17</t>
  </si>
  <si>
    <t xml:space="preserve">FY19 Town </t>
  </si>
  <si>
    <t>No.</t>
  </si>
  <si>
    <t>FY 1997</t>
  </si>
  <si>
    <t>FY 1998</t>
  </si>
  <si>
    <t>FY 1999</t>
  </si>
  <si>
    <t>FY 2000</t>
  </si>
  <si>
    <t>FY 2001</t>
  </si>
  <si>
    <t>FY 00 vs. FY 01</t>
  </si>
  <si>
    <t>FY02</t>
  </si>
  <si>
    <t>FY 2003</t>
  </si>
  <si>
    <t>FY03</t>
  </si>
  <si>
    <t>FY 2004</t>
  </si>
  <si>
    <t>FY03 vs FY04</t>
  </si>
  <si>
    <t>FY 04 vs FY 03</t>
  </si>
  <si>
    <t>FY04</t>
  </si>
  <si>
    <t>FY05</t>
  </si>
  <si>
    <t>Level Fund</t>
  </si>
  <si>
    <t>06 Level Fund</t>
  </si>
  <si>
    <t>CHANGE</t>
  </si>
  <si>
    <t>Request FY07</t>
  </si>
  <si>
    <t>FY07</t>
  </si>
  <si>
    <t>FY06/FY07 Prop</t>
  </si>
  <si>
    <t>FY07 Prop</t>
  </si>
  <si>
    <t>FY06/FY07 Level</t>
  </si>
  <si>
    <t>FY07 Level</t>
  </si>
  <si>
    <t xml:space="preserve">FY06/FY07 </t>
  </si>
  <si>
    <t>FY08</t>
  </si>
  <si>
    <t>FY08 Dept</t>
  </si>
  <si>
    <t>CAFO/Fin Comm</t>
  </si>
  <si>
    <t>Rec w/ override</t>
  </si>
  <si>
    <t>w/ override</t>
  </si>
  <si>
    <t>Dept Request</t>
  </si>
  <si>
    <t>Recommendation</t>
  </si>
  <si>
    <t>Fin Comm Rec</t>
  </si>
  <si>
    <t>FY2009</t>
  </si>
  <si>
    <t>FY09 CAFO Rec</t>
  </si>
  <si>
    <t>Difference</t>
  </si>
  <si>
    <t>FY2010</t>
  </si>
  <si>
    <t>FY09/FY10</t>
  </si>
  <si>
    <t>Manager 2/15/10</t>
  </si>
  <si>
    <t>FY2011</t>
  </si>
  <si>
    <t>FY2012</t>
  </si>
  <si>
    <t>Request</t>
  </si>
  <si>
    <t>Manager's</t>
  </si>
  <si>
    <t>Town Manager's</t>
  </si>
  <si>
    <t>FY12/FY13</t>
  </si>
  <si>
    <t>FY2013</t>
  </si>
  <si>
    <t>Budget</t>
  </si>
  <si>
    <t>FY2014</t>
  </si>
  <si>
    <t>Manager's Rec</t>
  </si>
  <si>
    <t>FY2015</t>
  </si>
  <si>
    <t>FY2016</t>
  </si>
  <si>
    <t>Service</t>
  </si>
  <si>
    <t>FY2017</t>
  </si>
  <si>
    <t xml:space="preserve">STM </t>
  </si>
  <si>
    <t>5/5/12 STM</t>
  </si>
  <si>
    <t>Override Budget</t>
  </si>
  <si>
    <t>Maturing Debt &amp; Interest</t>
  </si>
  <si>
    <t>Principal-Loans</t>
  </si>
  <si>
    <t>Interest -Loans</t>
  </si>
  <si>
    <t>Interest-Temporary Loans</t>
  </si>
  <si>
    <t>3A</t>
  </si>
  <si>
    <t>Administrative Fees - Loans</t>
  </si>
  <si>
    <t>3B</t>
  </si>
  <si>
    <t>Bond Issuance Costs</t>
  </si>
  <si>
    <t>Total Maturing Debt</t>
  </si>
  <si>
    <t xml:space="preserve">Unclassified   </t>
  </si>
  <si>
    <t>Liability Insurance</t>
  </si>
  <si>
    <t>Workers Compensation</t>
  </si>
  <si>
    <t>Group Health Insurance</t>
  </si>
  <si>
    <t>$1,522,236 SHIFTED TO SCHOOL DEPT.</t>
  </si>
  <si>
    <t>Group Life Insurance</t>
  </si>
  <si>
    <t>Physicals</t>
  </si>
  <si>
    <t>Print Town Reports</t>
  </si>
  <si>
    <t>Mont Reg Planning Assess</t>
  </si>
  <si>
    <t>Historical Commission</t>
  </si>
  <si>
    <t>Band Concerts</t>
  </si>
  <si>
    <t>12A</t>
  </si>
  <si>
    <t>Agricultural Commission</t>
  </si>
  <si>
    <t xml:space="preserve">Reserve Fund             </t>
  </si>
  <si>
    <t>13A</t>
  </si>
  <si>
    <t>Salary Reserve Fund</t>
  </si>
  <si>
    <t>Unemployment Expense</t>
  </si>
  <si>
    <t>14A</t>
  </si>
  <si>
    <t>Unemployment Expense - Stab Fund</t>
  </si>
  <si>
    <t xml:space="preserve">Medicare - Town's Share      </t>
  </si>
  <si>
    <t>Total Gen Gov Unclassified</t>
  </si>
  <si>
    <t>Finance Committee Expense</t>
  </si>
  <si>
    <t>Annual Town Audit</t>
  </si>
  <si>
    <t>Charter Review Committee</t>
  </si>
  <si>
    <t>Selectmen's Administration</t>
  </si>
  <si>
    <t>10 HRS MOVED FROM SCHOOL</t>
  </si>
  <si>
    <t>Selectmen Salaries</t>
  </si>
  <si>
    <t>Town Manager Salary</t>
  </si>
  <si>
    <t>Town Manager Expense</t>
  </si>
  <si>
    <t>Town Accountant</t>
  </si>
  <si>
    <t>1 POSITION MOVED FROM SCHOOL (.5 FTE)</t>
  </si>
  <si>
    <t>Treasurer's Administration</t>
  </si>
  <si>
    <t>Banking Charges</t>
  </si>
  <si>
    <t>Tax Collector's Admin</t>
  </si>
  <si>
    <t>Assessor's Salaries</t>
  </si>
  <si>
    <t>Assessor's Administration</t>
  </si>
  <si>
    <t>Technology Director</t>
  </si>
  <si>
    <t>Legal Expenses</t>
  </si>
  <si>
    <t>Town Clerk Salary</t>
  </si>
  <si>
    <t>Town Clerk's Administration</t>
  </si>
  <si>
    <t>Elections</t>
  </si>
  <si>
    <t>Registration &amp; Census</t>
  </si>
  <si>
    <t xml:space="preserve">Planning Board </t>
  </si>
  <si>
    <t>Zoning Board of Appeals</t>
  </si>
  <si>
    <t>Conservation Commission</t>
  </si>
  <si>
    <t>Total General Government</t>
  </si>
  <si>
    <t>NEW</t>
  </si>
  <si>
    <t>Total Central Purchasing</t>
  </si>
  <si>
    <t>Police Department</t>
  </si>
  <si>
    <t>Police Lock Up</t>
  </si>
  <si>
    <t>Injury Leave</t>
  </si>
  <si>
    <t>Police/Fire Medical Expenses</t>
  </si>
  <si>
    <t>Subtotal Police</t>
  </si>
  <si>
    <t>Fire Department</t>
  </si>
  <si>
    <t>43A</t>
  </si>
  <si>
    <t>Capital - Fire Dept.</t>
  </si>
  <si>
    <t>Fire Hydrant Expense</t>
  </si>
  <si>
    <t>Radio Equipment Mtc.</t>
  </si>
  <si>
    <t>Subtotal Fire Dept.</t>
  </si>
  <si>
    <t>Radio Watch</t>
  </si>
  <si>
    <t>Subtotal Radio Watch</t>
  </si>
  <si>
    <t>Emergency Management</t>
  </si>
  <si>
    <t>Sealer of Weights &amp; Measures</t>
  </si>
  <si>
    <t xml:space="preserve">Wiring Inspector </t>
  </si>
  <si>
    <t>Building Inspector</t>
  </si>
  <si>
    <t>Municipal Hearing Officer</t>
  </si>
  <si>
    <t>242-3</t>
  </si>
  <si>
    <t>Plumbing/Gas Inspector</t>
  </si>
  <si>
    <t>Animal Control</t>
  </si>
  <si>
    <t>Subtotal Other Protection</t>
  </si>
  <si>
    <t>Total Protection</t>
  </si>
  <si>
    <t>General Health Expense</t>
  </si>
  <si>
    <t>Nashoba Board of Health</t>
  </si>
  <si>
    <t>Nashoba Nursing</t>
  </si>
  <si>
    <t>Mental Health</t>
  </si>
  <si>
    <t>Animal Inspector Salary</t>
  </si>
  <si>
    <t>Total Health &amp; Sanitation</t>
  </si>
  <si>
    <t>Highway Labor</t>
  </si>
  <si>
    <t>DPW DIRECTOR-OHTER REVENUE SOURCE/$27,739 SEWER ENTERPRISE</t>
  </si>
  <si>
    <t>Highway OT</t>
  </si>
  <si>
    <t>General Highway Maintenance</t>
  </si>
  <si>
    <t>61A</t>
  </si>
  <si>
    <t>Capital - General Highway</t>
  </si>
  <si>
    <t>Town Highway Garage</t>
  </si>
  <si>
    <t>Traffic Signs &amp; Devices</t>
  </si>
  <si>
    <t>Vehicle Mtc. - Highway</t>
  </si>
  <si>
    <t>Vehicle Mtc - Police</t>
  </si>
  <si>
    <t>Vehicle Mtc. - Fire</t>
  </si>
  <si>
    <t>Park Department</t>
  </si>
  <si>
    <t>Cemetery Department</t>
  </si>
  <si>
    <t>Tree Removal</t>
  </si>
  <si>
    <t>Snow Removal Expense</t>
  </si>
  <si>
    <t>Total DPW</t>
  </si>
  <si>
    <t>Facilities and Buildings</t>
  </si>
  <si>
    <t>Facilities and Grounds</t>
  </si>
  <si>
    <t>$40,000 FAC/GRNDS DIRECTOR TO SCHOOL</t>
  </si>
  <si>
    <t>Public Buildings</t>
  </si>
  <si>
    <t>72A</t>
  </si>
  <si>
    <t>Additional Utilities, Library</t>
  </si>
  <si>
    <t>Total Facilities &amp; Buildings</t>
  </si>
  <si>
    <t>Solid Waste/Recycling Program</t>
  </si>
  <si>
    <t>Recycling Program</t>
  </si>
  <si>
    <t>Total Solid Waste/Recycling</t>
  </si>
  <si>
    <t xml:space="preserve">Council on Aging </t>
  </si>
  <si>
    <t>Subtotal C.O.A.</t>
  </si>
  <si>
    <t>Veterans’ Benefits</t>
  </si>
  <si>
    <t>Veteran's Administration</t>
  </si>
  <si>
    <t>Registrar of Vets' Graves</t>
  </si>
  <si>
    <t>Memorial Day</t>
  </si>
  <si>
    <t>Subtotal Veterans</t>
  </si>
  <si>
    <t>Total Assistance</t>
  </si>
  <si>
    <t xml:space="preserve">Schools    </t>
  </si>
  <si>
    <t>School Department</t>
  </si>
  <si>
    <t>See attached sheet</t>
  </si>
  <si>
    <t>FY04 CHOICE/CHARTER $560,000 - CHOICE REVENUE $300,000</t>
  </si>
  <si>
    <t>79A</t>
  </si>
  <si>
    <t>Unemployment School - Stab/Free Cash</t>
  </si>
  <si>
    <t>79B</t>
  </si>
  <si>
    <t>Curriculum Update</t>
  </si>
  <si>
    <t>Monty Tech Assessment</t>
  </si>
  <si>
    <t>Enrollment down by six</t>
  </si>
  <si>
    <t>Health Insurance-School</t>
  </si>
  <si>
    <t xml:space="preserve">Vehicle Mtc - School </t>
  </si>
  <si>
    <t>Trans from DPW</t>
  </si>
  <si>
    <t>Total Schools</t>
  </si>
  <si>
    <t>Lunenburg Public Library</t>
  </si>
  <si>
    <t>Total Library</t>
  </si>
  <si>
    <t xml:space="preserve">Total Omnibus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</si>
</sst>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5" formatCode="&quot;$&quot;#,##0_);\(&quot;$&quot;#,##0\)"/>
    <numFmt numFmtId="7" formatCode="&quot;$&quot;#,##0.00_);\(&quot;$&quot;#,##0.00\)"/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&quot;$&quot;#,##0.00"/>
    <numFmt numFmtId="166" formatCode="&quot;$&quot;#,##0.00;[Red]&quot;$&quot;#,##0.00"/>
    <numFmt numFmtId="167" formatCode="0.000%"/>
  </numFmts>
  <fonts count="28" x14ac:knownFonts="1">
    <font>
      <sz val="10"/>
      <name val="Arial"/>
      <family val="2"/>
    </font>
    <font>
      <sz val="10"/>
      <name val="Arial"/>
      <family val="2"/>
    </font>
    <font>
      <sz val="14"/>
      <name val="Arial Black"/>
      <family val="2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Arial Black"/>
      <family val="2"/>
    </font>
    <font>
      <b/>
      <i/>
      <sz val="11"/>
      <name val="Times New Roman"/>
      <family val="1"/>
    </font>
    <font>
      <sz val="11"/>
      <color indexed="8"/>
      <name val="Times New Roman"/>
      <family val="1"/>
    </font>
    <font>
      <b/>
      <i/>
      <sz val="10"/>
      <name val="Arial"/>
      <family val="2"/>
    </font>
    <font>
      <b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24"/>
      <name val="Times New Roman"/>
      <family val="1"/>
    </font>
    <font>
      <b/>
      <i/>
      <sz val="20"/>
      <name val="Times New Roman"/>
      <family val="1"/>
    </font>
    <font>
      <sz val="2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b/>
      <sz val="12"/>
      <name val="Arial Rounded MT Bold"/>
      <family val="2"/>
    </font>
    <font>
      <i/>
      <sz val="10"/>
      <name val="Times New Roman"/>
      <family val="1"/>
    </font>
    <font>
      <sz val="8"/>
      <name val="Times New Roman"/>
      <family val="1"/>
    </font>
    <font>
      <b/>
      <i/>
      <sz val="12"/>
      <name val="Times New Roman"/>
      <family val="1"/>
    </font>
    <font>
      <i/>
      <sz val="9"/>
      <name val="Times New Roman"/>
      <family val="1"/>
    </font>
    <font>
      <b/>
      <i/>
      <sz val="10"/>
      <name val="Times New Roman"/>
      <family val="1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</fills>
  <borders count="8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1" fontId="1" fillId="0" borderId="0">
      <alignment horizontal="right"/>
    </xf>
  </cellStyleXfs>
  <cellXfs count="252">
    <xf numFmtId="0" fontId="0" fillId="0" borderId="0" xfId="0"/>
    <xf numFmtId="0" fontId="2" fillId="0" borderId="0" xfId="0" applyFont="1" applyAlignment="1">
      <alignment horizontal="centerContinuous"/>
    </xf>
    <xf numFmtId="164" fontId="1" fillId="0" borderId="0" xfId="1" applyNumberFormat="1" applyAlignment="1">
      <alignment horizontal="centerContinuous"/>
    </xf>
    <xf numFmtId="44" fontId="1" fillId="0" borderId="0" xfId="1" applyAlignment="1">
      <alignment horizontal="centerContinuous"/>
    </xf>
    <xf numFmtId="0" fontId="0" fillId="0" borderId="0" xfId="0" applyAlignment="1">
      <alignment horizontal="centerContinuous"/>
    </xf>
    <xf numFmtId="0" fontId="3" fillId="0" borderId="0" xfId="0" applyFont="1" applyAlignment="1">
      <alignment horizontal="left"/>
    </xf>
    <xf numFmtId="164" fontId="3" fillId="0" borderId="0" xfId="1" applyNumberFormat="1" applyFont="1" applyAlignment="1">
      <alignment horizontal="right"/>
    </xf>
    <xf numFmtId="44" fontId="3" fillId="0" borderId="0" xfId="1" applyFont="1" applyAlignment="1">
      <alignment horizontal="right"/>
    </xf>
    <xf numFmtId="44" fontId="1" fillId="0" borderId="0" xfId="1" applyAlignment="1">
      <alignment horizontal="right"/>
    </xf>
    <xf numFmtId="164" fontId="3" fillId="0" borderId="0" xfId="1" applyNumberFormat="1" applyFont="1" applyAlignment="1">
      <alignment horizontal="center"/>
    </xf>
    <xf numFmtId="0" fontId="3" fillId="0" borderId="0" xfId="0" applyFont="1" applyAlignment="1">
      <alignment horizontal="center"/>
    </xf>
    <xf numFmtId="164" fontId="4" fillId="0" borderId="0" xfId="1" applyNumberFormat="1" applyFont="1" applyAlignment="1">
      <alignment horizontal="right"/>
    </xf>
    <xf numFmtId="44" fontId="5" fillId="0" borderId="0" xfId="1" applyFont="1" applyAlignment="1">
      <alignment horizontal="right"/>
    </xf>
    <xf numFmtId="0" fontId="6" fillId="2" borderId="0" xfId="0" applyFont="1" applyFill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5" fillId="0" borderId="0" xfId="0" applyFont="1" applyAlignment="1">
      <alignment horizontal="left"/>
    </xf>
    <xf numFmtId="44" fontId="5" fillId="0" borderId="0" xfId="1" applyNumberFormat="1" applyFont="1" applyAlignment="1">
      <alignment horizontal="right"/>
    </xf>
    <xf numFmtId="44" fontId="5" fillId="0" borderId="0" xfId="1" quotePrefix="1" applyFont="1" applyAlignment="1">
      <alignment horizontal="left"/>
    </xf>
    <xf numFmtId="44" fontId="5" fillId="0" borderId="0" xfId="1" quotePrefix="1" applyFont="1" applyFill="1" applyAlignment="1">
      <alignment horizontal="left"/>
    </xf>
    <xf numFmtId="44" fontId="5" fillId="4" borderId="2" xfId="1" quotePrefix="1" applyFont="1" applyFill="1" applyBorder="1" applyAlignment="1">
      <alignment horizontal="left"/>
    </xf>
    <xf numFmtId="10" fontId="5" fillId="0" borderId="0" xfId="0" applyNumberFormat="1" applyFont="1" applyAlignment="1">
      <alignment horizontal="left"/>
    </xf>
    <xf numFmtId="44" fontId="5" fillId="0" borderId="0" xfId="1" applyFont="1" applyFill="1" applyAlignment="1">
      <alignment horizontal="right"/>
    </xf>
    <xf numFmtId="44" fontId="5" fillId="0" borderId="0" xfId="1" applyFont="1" applyFill="1" applyBorder="1" applyAlignment="1">
      <alignment horizontal="right"/>
    </xf>
    <xf numFmtId="44" fontId="5" fillId="0" borderId="2" xfId="1" quotePrefix="1" applyFont="1" applyBorder="1" applyAlignment="1">
      <alignment horizontal="left"/>
    </xf>
    <xf numFmtId="44" fontId="5" fillId="0" borderId="0" xfId="1" quotePrefix="1" applyFont="1" applyFill="1" applyBorder="1" applyAlignment="1">
      <alignment horizontal="left"/>
    </xf>
    <xf numFmtId="44" fontId="5" fillId="4" borderId="2" xfId="1" applyFont="1" applyFill="1" applyBorder="1" applyAlignment="1">
      <alignment horizontal="right"/>
    </xf>
    <xf numFmtId="44" fontId="5" fillId="5" borderId="0" xfId="1" quotePrefix="1" applyFont="1" applyFill="1" applyAlignment="1">
      <alignment horizontal="left"/>
    </xf>
    <xf numFmtId="44" fontId="0" fillId="0" borderId="0" xfId="0" applyNumberFormat="1"/>
    <xf numFmtId="44" fontId="5" fillId="0" borderId="2" xfId="1" applyFont="1" applyFill="1" applyBorder="1" applyAlignment="1">
      <alignment horizontal="right"/>
    </xf>
    <xf numFmtId="0" fontId="7" fillId="0" borderId="0" xfId="0" applyFont="1" applyAlignment="1">
      <alignment horizontal="right"/>
    </xf>
    <xf numFmtId="44" fontId="7" fillId="0" borderId="0" xfId="1" applyNumberFormat="1" applyFont="1" applyAlignment="1">
      <alignment horizontal="right"/>
    </xf>
    <xf numFmtId="44" fontId="7" fillId="0" borderId="0" xfId="1" applyNumberFormat="1" applyFont="1" applyFill="1" applyAlignment="1">
      <alignment horizontal="right"/>
    </xf>
    <xf numFmtId="44" fontId="5" fillId="0" borderId="0" xfId="1" applyFont="1" applyAlignment="1">
      <alignment horizontal="left"/>
    </xf>
    <xf numFmtId="44" fontId="5" fillId="0" borderId="1" xfId="1" applyFont="1" applyBorder="1" applyAlignment="1">
      <alignment horizontal="right"/>
    </xf>
    <xf numFmtId="44" fontId="5" fillId="0" borderId="1" xfId="1" applyFont="1" applyFill="1" applyBorder="1" applyAlignment="1">
      <alignment horizontal="right"/>
    </xf>
    <xf numFmtId="44" fontId="7" fillId="3" borderId="1" xfId="1" applyNumberFormat="1" applyFont="1" applyFill="1" applyBorder="1" applyAlignment="1">
      <alignment horizontal="right"/>
    </xf>
    <xf numFmtId="44" fontId="7" fillId="0" borderId="1" xfId="1" applyNumberFormat="1" applyFont="1" applyFill="1" applyBorder="1" applyAlignment="1">
      <alignment horizontal="right"/>
    </xf>
    <xf numFmtId="43" fontId="7" fillId="0" borderId="0" xfId="1" applyNumberFormat="1" applyFont="1" applyAlignment="1">
      <alignment horizontal="right"/>
    </xf>
    <xf numFmtId="0" fontId="7" fillId="0" borderId="0" xfId="0" applyFont="1"/>
    <xf numFmtId="44" fontId="0" fillId="0" borderId="0" xfId="1" applyFont="1"/>
    <xf numFmtId="10" fontId="0" fillId="0" borderId="0" xfId="0" applyNumberFormat="1"/>
    <xf numFmtId="44" fontId="1" fillId="0" borderId="0" xfId="1" applyNumberFormat="1" applyAlignment="1">
      <alignment horizontal="right"/>
    </xf>
    <xf numFmtId="44" fontId="8" fillId="0" borderId="0" xfId="1" applyFont="1" applyFill="1" applyAlignment="1">
      <alignment horizontal="right"/>
    </xf>
    <xf numFmtId="0" fontId="5" fillId="0" borderId="0" xfId="0" applyFont="1" applyFill="1" applyBorder="1" applyAlignment="1">
      <alignment horizontal="left"/>
    </xf>
    <xf numFmtId="43" fontId="1" fillId="0" borderId="0" xfId="1" applyNumberFormat="1" applyAlignment="1">
      <alignment horizontal="right"/>
    </xf>
    <xf numFmtId="164" fontId="5" fillId="0" borderId="0" xfId="1" applyNumberFormat="1" applyFont="1" applyAlignment="1">
      <alignment horizontal="right"/>
    </xf>
    <xf numFmtId="42" fontId="0" fillId="0" borderId="0" xfId="0" applyNumberFormat="1"/>
    <xf numFmtId="44" fontId="5" fillId="0" borderId="0" xfId="1" applyNumberFormat="1" applyFont="1" applyFill="1" applyAlignment="1">
      <alignment horizontal="right"/>
    </xf>
    <xf numFmtId="43" fontId="5" fillId="0" borderId="0" xfId="1" applyNumberFormat="1" applyFont="1" applyAlignment="1">
      <alignment horizontal="right"/>
    </xf>
    <xf numFmtId="0" fontId="3" fillId="0" borderId="0" xfId="0" applyFont="1" applyAlignment="1"/>
    <xf numFmtId="0" fontId="5" fillId="0" borderId="0" xfId="0" applyFont="1"/>
    <xf numFmtId="0" fontId="0" fillId="0" borderId="0" xfId="0" applyFill="1"/>
    <xf numFmtId="44" fontId="5" fillId="0" borderId="0" xfId="1" applyNumberFormat="1" applyFont="1" applyFill="1" applyBorder="1" applyAlignment="1">
      <alignment horizontal="right"/>
    </xf>
    <xf numFmtId="44" fontId="5" fillId="6" borderId="0" xfId="1" applyNumberFormat="1" applyFont="1" applyFill="1" applyAlignment="1">
      <alignment horizontal="right"/>
    </xf>
    <xf numFmtId="43" fontId="7" fillId="0" borderId="0" xfId="1" applyNumberFormat="1" applyFont="1" applyFill="1" applyAlignment="1">
      <alignment horizontal="right"/>
    </xf>
    <xf numFmtId="44" fontId="5" fillId="0" borderId="0" xfId="1" applyFont="1" applyBorder="1" applyAlignment="1">
      <alignment horizontal="right"/>
    </xf>
    <xf numFmtId="44" fontId="5" fillId="3" borderId="1" xfId="1" applyNumberFormat="1" applyFont="1" applyFill="1" applyBorder="1" applyAlignment="1">
      <alignment horizontal="right"/>
    </xf>
    <xf numFmtId="44" fontId="5" fillId="3" borderId="1" xfId="1" applyFont="1" applyFill="1" applyBorder="1" applyAlignment="1">
      <alignment horizontal="right"/>
    </xf>
    <xf numFmtId="164" fontId="7" fillId="0" borderId="0" xfId="1" applyNumberFormat="1" applyFont="1" applyAlignment="1">
      <alignment horizontal="right"/>
    </xf>
    <xf numFmtId="0" fontId="5" fillId="0" borderId="0" xfId="0" applyFont="1" applyAlignment="1">
      <alignment horizontal="right"/>
    </xf>
    <xf numFmtId="0" fontId="5" fillId="0" borderId="0" xfId="0" applyFont="1" applyFill="1" applyAlignment="1">
      <alignment horizontal="left"/>
    </xf>
    <xf numFmtId="44" fontId="5" fillId="0" borderId="0" xfId="1" quotePrefix="1" applyFont="1" applyBorder="1" applyAlignment="1">
      <alignment horizontal="left"/>
    </xf>
    <xf numFmtId="0" fontId="7" fillId="0" borderId="0" xfId="0" applyFont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44" fontId="1" fillId="3" borderId="1" xfId="1" applyFill="1" applyBorder="1" applyAlignment="1">
      <alignment horizontal="right"/>
    </xf>
    <xf numFmtId="44" fontId="5" fillId="0" borderId="0" xfId="1" applyNumberFormat="1" applyFont="1" applyAlignment="1">
      <alignment horizontal="left"/>
    </xf>
    <xf numFmtId="44" fontId="5" fillId="3" borderId="0" xfId="1" applyNumberFormat="1" applyFont="1" applyFill="1" applyBorder="1" applyAlignment="1">
      <alignment horizontal="right"/>
    </xf>
    <xf numFmtId="44" fontId="1" fillId="3" borderId="0" xfId="1" applyFill="1" applyBorder="1" applyAlignment="1">
      <alignment horizontal="right"/>
    </xf>
    <xf numFmtId="44" fontId="5" fillId="0" borderId="0" xfId="1" quotePrefix="1" applyNumberFormat="1" applyFont="1" applyFill="1" applyBorder="1" applyAlignment="1">
      <alignment horizontal="right"/>
    </xf>
    <xf numFmtId="0" fontId="3" fillId="0" borderId="0" xfId="0" applyFont="1" applyFill="1" applyAlignment="1">
      <alignment horizontal="left"/>
    </xf>
    <xf numFmtId="164" fontId="5" fillId="0" borderId="0" xfId="1" quotePrefix="1" applyNumberFormat="1" applyFont="1" applyFill="1" applyAlignment="1">
      <alignment horizontal="right"/>
    </xf>
    <xf numFmtId="0" fontId="7" fillId="0" borderId="0" xfId="0" applyFont="1" applyAlignment="1">
      <alignment horizontal="left"/>
    </xf>
    <xf numFmtId="164" fontId="5" fillId="3" borderId="1" xfId="1" applyNumberFormat="1" applyFont="1" applyFill="1" applyBorder="1" applyAlignment="1">
      <alignment horizontal="right"/>
    </xf>
    <xf numFmtId="42" fontId="0" fillId="3" borderId="1" xfId="0" applyNumberFormat="1" applyFill="1" applyBorder="1"/>
    <xf numFmtId="0" fontId="3" fillId="0" borderId="0" xfId="0" applyFont="1" applyAlignment="1">
      <alignment horizontal="right"/>
    </xf>
    <xf numFmtId="165" fontId="3" fillId="0" borderId="0" xfId="1" applyNumberFormat="1" applyFont="1"/>
    <xf numFmtId="0" fontId="3" fillId="0" borderId="0" xfId="0" applyFont="1" applyFill="1" applyAlignment="1">
      <alignment horizontal="right"/>
    </xf>
    <xf numFmtId="44" fontId="3" fillId="0" borderId="0" xfId="1" applyNumberFormat="1" applyFont="1" applyAlignment="1">
      <alignment horizontal="right"/>
    </xf>
    <xf numFmtId="0" fontId="9" fillId="1" borderId="0" xfId="0" applyFont="1" applyFill="1" applyAlignment="1">
      <alignment horizontal="left"/>
    </xf>
    <xf numFmtId="44" fontId="9" fillId="1" borderId="0" xfId="1" applyFont="1" applyFill="1" applyAlignment="1">
      <alignment horizontal="left"/>
    </xf>
    <xf numFmtId="7" fontId="3" fillId="0" borderId="0" xfId="1" applyNumberFormat="1" applyFont="1" applyAlignment="1">
      <alignment horizontal="right"/>
    </xf>
    <xf numFmtId="166" fontId="3" fillId="0" borderId="0" xfId="1" applyNumberFormat="1" applyFont="1" applyAlignment="1">
      <alignment horizontal="right"/>
    </xf>
    <xf numFmtId="8" fontId="3" fillId="0" borderId="0" xfId="1" applyNumberFormat="1" applyFont="1" applyAlignment="1">
      <alignment horizontal="right"/>
    </xf>
    <xf numFmtId="8" fontId="0" fillId="0" borderId="0" xfId="0" applyNumberFormat="1"/>
    <xf numFmtId="44" fontId="1" fillId="0" borderId="0" xfId="1" applyFont="1" applyAlignment="1">
      <alignment horizontal="right"/>
    </xf>
    <xf numFmtId="44" fontId="0" fillId="0" borderId="0" xfId="1" applyFont="1" applyAlignment="1">
      <alignment horizontal="right"/>
    </xf>
    <xf numFmtId="44" fontId="0" fillId="0" borderId="0" xfId="0" applyNumberFormat="1" applyAlignment="1">
      <alignment horizontal="right"/>
    </xf>
    <xf numFmtId="0" fontId="1" fillId="0" borderId="0" xfId="0" applyFont="1"/>
    <xf numFmtId="44" fontId="3" fillId="0" borderId="0" xfId="1" applyNumberFormat="1" applyFont="1" applyBorder="1" applyAlignment="1">
      <alignment horizontal="right"/>
    </xf>
    <xf numFmtId="0" fontId="0" fillId="0" borderId="0" xfId="0" applyAlignment="1">
      <alignment horizontal="right"/>
    </xf>
    <xf numFmtId="7" fontId="3" fillId="0" borderId="0" xfId="1" applyNumberFormat="1" applyFont="1" applyAlignment="1"/>
    <xf numFmtId="0" fontId="10" fillId="0" borderId="0" xfId="0" applyFont="1" applyAlignment="1">
      <alignment horizontal="right"/>
    </xf>
    <xf numFmtId="7" fontId="3" fillId="0" borderId="3" xfId="1" applyNumberFormat="1" applyFont="1" applyBorder="1" applyAlignment="1">
      <alignment horizontal="right"/>
    </xf>
    <xf numFmtId="7" fontId="3" fillId="0" borderId="0" xfId="1" applyNumberFormat="1" applyFont="1" applyBorder="1" applyAlignment="1">
      <alignment horizontal="right"/>
    </xf>
    <xf numFmtId="0" fontId="1" fillId="0" borderId="0" xfId="0" applyFont="1" applyAlignment="1">
      <alignment horizontal="right"/>
    </xf>
    <xf numFmtId="44" fontId="1" fillId="0" borderId="0" xfId="1" applyFont="1" applyBorder="1" applyAlignment="1">
      <alignment horizontal="right"/>
    </xf>
    <xf numFmtId="44" fontId="5" fillId="0" borderId="0" xfId="1" applyNumberFormat="1" applyFont="1" applyBorder="1" applyAlignment="1">
      <alignment horizontal="right"/>
    </xf>
    <xf numFmtId="167" fontId="1" fillId="0" borderId="0" xfId="1" applyNumberFormat="1" applyAlignment="1">
      <alignment horizontal="right"/>
    </xf>
    <xf numFmtId="0" fontId="0" fillId="0" borderId="3" xfId="0" applyBorder="1"/>
    <xf numFmtId="0" fontId="0" fillId="0" borderId="0" xfId="0" applyBorder="1"/>
    <xf numFmtId="44" fontId="0" fillId="0" borderId="0" xfId="0" applyNumberFormat="1" applyBorder="1"/>
    <xf numFmtId="1" fontId="13" fillId="0" borderId="0" xfId="4" applyFont="1" applyFill="1" applyBorder="1" applyAlignment="1">
      <alignment horizontal="left"/>
    </xf>
    <xf numFmtId="1" fontId="14" fillId="0" borderId="0" xfId="4" applyFont="1" applyFill="1" applyBorder="1" applyAlignment="1">
      <alignment horizontal="left"/>
    </xf>
    <xf numFmtId="1" fontId="15" fillId="0" borderId="0" xfId="4" applyFont="1" applyFill="1" applyBorder="1" applyAlignment="1">
      <alignment horizontal="left"/>
    </xf>
    <xf numFmtId="1" fontId="16" fillId="0" borderId="0" xfId="4" applyFont="1" applyFill="1">
      <alignment horizontal="right"/>
    </xf>
    <xf numFmtId="1" fontId="15" fillId="0" borderId="0" xfId="4" applyFont="1" applyFill="1">
      <alignment horizontal="right"/>
    </xf>
    <xf numFmtId="44" fontId="16" fillId="0" borderId="0" xfId="1" applyFont="1" applyFill="1" applyAlignment="1">
      <alignment horizontal="right"/>
    </xf>
    <xf numFmtId="44" fontId="15" fillId="0" borderId="0" xfId="1" applyFont="1" applyFill="1" applyAlignment="1">
      <alignment horizontal="right"/>
    </xf>
    <xf numFmtId="44" fontId="4" fillId="0" borderId="0" xfId="1" applyNumberFormat="1" applyFont="1" applyFill="1" applyAlignment="1">
      <alignment horizontal="center"/>
    </xf>
    <xf numFmtId="1" fontId="16" fillId="0" borderId="0" xfId="4" applyFont="1" applyFill="1" applyAlignment="1">
      <alignment horizontal="center"/>
    </xf>
    <xf numFmtId="1" fontId="16" fillId="0" borderId="0" xfId="4" applyFont="1" applyFill="1" applyAlignment="1">
      <alignment horizontal="left"/>
    </xf>
    <xf numFmtId="1" fontId="17" fillId="0" borderId="0" xfId="4" applyFont="1" applyFill="1">
      <alignment horizontal="right"/>
    </xf>
    <xf numFmtId="44" fontId="17" fillId="0" borderId="0" xfId="1" applyFont="1" applyFill="1" applyAlignment="1">
      <alignment horizontal="right"/>
    </xf>
    <xf numFmtId="1" fontId="18" fillId="0" borderId="0" xfId="4" applyFont="1" applyFill="1" applyAlignment="1">
      <alignment horizontal="center"/>
    </xf>
    <xf numFmtId="1" fontId="18" fillId="3" borderId="1" xfId="4" applyFont="1" applyFill="1" applyBorder="1" applyAlignment="1">
      <alignment horizontal="center"/>
    </xf>
    <xf numFmtId="1" fontId="18" fillId="2" borderId="0" xfId="4" applyFont="1" applyFill="1" applyAlignment="1">
      <alignment horizontal="center"/>
    </xf>
    <xf numFmtId="44" fontId="18" fillId="0" borderId="0" xfId="1" applyFont="1" applyFill="1" applyAlignment="1">
      <alignment horizontal="center"/>
    </xf>
    <xf numFmtId="1" fontId="18" fillId="0" borderId="0" xfId="4" quotePrefix="1" applyFont="1" applyFill="1" applyAlignment="1">
      <alignment horizontal="center"/>
    </xf>
    <xf numFmtId="1" fontId="18" fillId="0" borderId="0" xfId="4" applyNumberFormat="1" applyFont="1" applyFill="1" applyAlignment="1">
      <alignment horizontal="center"/>
    </xf>
    <xf numFmtId="1" fontId="18" fillId="3" borderId="1" xfId="4" applyNumberFormat="1" applyFont="1" applyFill="1" applyBorder="1" applyAlignment="1">
      <alignment horizontal="center"/>
    </xf>
    <xf numFmtId="1" fontId="18" fillId="2" borderId="0" xfId="4" applyNumberFormat="1" applyFont="1" applyFill="1" applyAlignment="1">
      <alignment horizontal="center"/>
    </xf>
    <xf numFmtId="1" fontId="18" fillId="0" borderId="0" xfId="4" quotePrefix="1" applyNumberFormat="1" applyFont="1" applyFill="1" applyAlignment="1">
      <alignment horizontal="center"/>
    </xf>
    <xf numFmtId="1" fontId="19" fillId="3" borderId="4" xfId="4" quotePrefix="1" applyNumberFormat="1" applyFont="1" applyFill="1" applyBorder="1" applyAlignment="1">
      <alignment horizontal="center"/>
    </xf>
    <xf numFmtId="1" fontId="19" fillId="2" borderId="0" xfId="4" quotePrefix="1" applyNumberFormat="1" applyFont="1" applyFill="1" applyAlignment="1">
      <alignment horizontal="center"/>
    </xf>
    <xf numFmtId="1" fontId="16" fillId="0" borderId="0" xfId="4" applyFont="1" applyFill="1" applyBorder="1" applyAlignment="1">
      <alignment horizontal="center"/>
    </xf>
    <xf numFmtId="1" fontId="20" fillId="0" borderId="0" xfId="4" applyFont="1" applyFill="1" applyBorder="1" applyAlignment="1">
      <alignment horizontal="left"/>
    </xf>
    <xf numFmtId="1" fontId="17" fillId="0" borderId="1" xfId="4" applyFont="1" applyFill="1" applyBorder="1">
      <alignment horizontal="right"/>
    </xf>
    <xf numFmtId="1" fontId="16" fillId="0" borderId="0" xfId="4" applyFont="1" applyFill="1" applyBorder="1" applyAlignment="1">
      <alignment horizontal="left"/>
    </xf>
    <xf numFmtId="44" fontId="16" fillId="0" borderId="0" xfId="1" applyFont="1" applyAlignment="1">
      <alignment horizontal="right"/>
    </xf>
    <xf numFmtId="44" fontId="16" fillId="0" borderId="0" xfId="1" applyFont="1" applyFill="1" applyAlignment="1">
      <alignment horizontal="left"/>
    </xf>
    <xf numFmtId="44" fontId="4" fillId="0" borderId="0" xfId="1" applyFont="1" applyFill="1" applyAlignment="1">
      <alignment horizontal="left"/>
    </xf>
    <xf numFmtId="10" fontId="18" fillId="0" borderId="0" xfId="4" applyNumberFormat="1" applyFont="1" applyFill="1">
      <alignment horizontal="right"/>
    </xf>
    <xf numFmtId="44" fontId="4" fillId="0" borderId="0" xfId="1" applyFont="1" applyFill="1" applyAlignment="1">
      <alignment horizontal="right"/>
    </xf>
    <xf numFmtId="44" fontId="18" fillId="0" borderId="0" xfId="4" applyNumberFormat="1" applyFont="1" applyFill="1">
      <alignment horizontal="right"/>
    </xf>
    <xf numFmtId="10" fontId="4" fillId="0" borderId="0" xfId="1" applyNumberFormat="1" applyFont="1" applyFill="1" applyAlignment="1">
      <alignment horizontal="center"/>
    </xf>
    <xf numFmtId="44" fontId="4" fillId="4" borderId="2" xfId="1" applyNumberFormat="1" applyFont="1" applyFill="1" applyBorder="1" applyAlignment="1">
      <alignment horizontal="center"/>
    </xf>
    <xf numFmtId="44" fontId="4" fillId="0" borderId="0" xfId="1" applyNumberFormat="1" applyFont="1" applyFill="1" applyBorder="1" applyAlignment="1">
      <alignment horizontal="center"/>
    </xf>
    <xf numFmtId="44" fontId="16" fillId="0" borderId="0" xfId="1" applyFont="1" applyFill="1" applyAlignment="1">
      <alignment horizontal="center"/>
    </xf>
    <xf numFmtId="10" fontId="17" fillId="0" borderId="0" xfId="4" applyNumberFormat="1" applyFont="1" applyFill="1">
      <alignment horizontal="right"/>
    </xf>
    <xf numFmtId="1" fontId="17" fillId="0" borderId="0" xfId="4" applyFont="1" applyFill="1" applyAlignment="1">
      <alignment horizontal="center"/>
    </xf>
    <xf numFmtId="44" fontId="17" fillId="0" borderId="0" xfId="1" applyFont="1" applyFill="1" applyAlignment="1">
      <alignment horizontal="left"/>
    </xf>
    <xf numFmtId="1" fontId="18" fillId="0" borderId="0" xfId="4" applyFont="1" applyFill="1">
      <alignment horizontal="right"/>
    </xf>
    <xf numFmtId="1" fontId="4" fillId="0" borderId="0" xfId="4" applyFont="1" applyFill="1" applyBorder="1" applyAlignment="1">
      <alignment horizontal="left"/>
    </xf>
    <xf numFmtId="44" fontId="18" fillId="0" borderId="0" xfId="1" applyFont="1" applyFill="1" applyAlignment="1">
      <alignment horizontal="right"/>
    </xf>
    <xf numFmtId="44" fontId="16" fillId="0" borderId="1" xfId="1" applyFont="1" applyFill="1" applyBorder="1" applyAlignment="1">
      <alignment horizontal="right"/>
    </xf>
    <xf numFmtId="44" fontId="16" fillId="0" borderId="1" xfId="1" applyFont="1" applyBorder="1" applyAlignment="1">
      <alignment horizontal="right"/>
    </xf>
    <xf numFmtId="44" fontId="16" fillId="0" borderId="1" xfId="1" applyFont="1" applyFill="1" applyBorder="1" applyAlignment="1">
      <alignment horizontal="left"/>
    </xf>
    <xf numFmtId="44" fontId="4" fillId="0" borderId="1" xfId="1" applyFont="1" applyFill="1" applyBorder="1" applyAlignment="1">
      <alignment horizontal="left"/>
    </xf>
    <xf numFmtId="10" fontId="17" fillId="0" borderId="1" xfId="4" applyNumberFormat="1" applyFont="1" applyFill="1" applyBorder="1">
      <alignment horizontal="right"/>
    </xf>
    <xf numFmtId="1" fontId="18" fillId="0" borderId="1" xfId="4" applyFont="1" applyFill="1" applyBorder="1">
      <alignment horizontal="right"/>
    </xf>
    <xf numFmtId="44" fontId="4" fillId="0" borderId="1" xfId="1" applyFont="1" applyFill="1" applyBorder="1" applyAlignment="1">
      <alignment horizontal="right"/>
    </xf>
    <xf numFmtId="10" fontId="18" fillId="0" borderId="1" xfId="4" applyNumberFormat="1" applyFont="1" applyFill="1" applyBorder="1">
      <alignment horizontal="right"/>
    </xf>
    <xf numFmtId="44" fontId="18" fillId="0" borderId="1" xfId="4" applyNumberFormat="1" applyFont="1" applyFill="1" applyBorder="1">
      <alignment horizontal="right"/>
    </xf>
    <xf numFmtId="10" fontId="4" fillId="0" borderId="1" xfId="1" applyNumberFormat="1" applyFont="1" applyFill="1" applyBorder="1" applyAlignment="1">
      <alignment horizontal="center"/>
    </xf>
    <xf numFmtId="0" fontId="16" fillId="0" borderId="0" xfId="4" applyNumberFormat="1" applyFont="1" applyFill="1" applyBorder="1" applyAlignment="1">
      <alignment horizontal="center"/>
    </xf>
    <xf numFmtId="44" fontId="16" fillId="3" borderId="1" xfId="1" applyFont="1" applyFill="1" applyBorder="1" applyAlignment="1">
      <alignment horizontal="right"/>
    </xf>
    <xf numFmtId="44" fontId="16" fillId="3" borderId="1" xfId="1" applyFont="1" applyFill="1" applyBorder="1" applyAlignment="1">
      <alignment horizontal="left"/>
    </xf>
    <xf numFmtId="44" fontId="4" fillId="3" borderId="1" xfId="1" applyFont="1" applyFill="1" applyBorder="1" applyAlignment="1">
      <alignment horizontal="left"/>
    </xf>
    <xf numFmtId="10" fontId="17" fillId="3" borderId="1" xfId="4" applyNumberFormat="1" applyFont="1" applyFill="1" applyBorder="1">
      <alignment horizontal="right"/>
    </xf>
    <xf numFmtId="1" fontId="17" fillId="3" borderId="1" xfId="4" applyFont="1" applyFill="1" applyBorder="1" applyAlignment="1">
      <alignment horizontal="left"/>
    </xf>
    <xf numFmtId="44" fontId="4" fillId="3" borderId="1" xfId="1" applyFont="1" applyFill="1" applyBorder="1" applyAlignment="1">
      <alignment horizontal="right"/>
    </xf>
    <xf numFmtId="10" fontId="18" fillId="3" borderId="1" xfId="4" applyNumberFormat="1" applyFont="1" applyFill="1" applyBorder="1">
      <alignment horizontal="right"/>
    </xf>
    <xf numFmtId="44" fontId="18" fillId="3" borderId="1" xfId="4" applyNumberFormat="1" applyFont="1" applyFill="1" applyBorder="1">
      <alignment horizontal="right"/>
    </xf>
    <xf numFmtId="10" fontId="4" fillId="3" borderId="1" xfId="1" applyNumberFormat="1" applyFont="1" applyFill="1" applyBorder="1" applyAlignment="1">
      <alignment horizontal="center"/>
    </xf>
    <xf numFmtId="44" fontId="4" fillId="0" borderId="0" xfId="1" applyFont="1" applyFill="1" applyBorder="1" applyAlignment="1">
      <alignment horizontal="right"/>
    </xf>
    <xf numFmtId="1" fontId="17" fillId="3" borderId="1" xfId="4" applyFont="1" applyFill="1" applyBorder="1">
      <alignment horizontal="right"/>
    </xf>
    <xf numFmtId="44" fontId="18" fillId="0" borderId="0" xfId="1" applyFont="1" applyFill="1" applyAlignment="1">
      <alignment horizontal="left"/>
    </xf>
    <xf numFmtId="1" fontId="21" fillId="0" borderId="0" xfId="4" applyFont="1" applyFill="1" applyAlignment="1">
      <alignment horizontal="left"/>
    </xf>
    <xf numFmtId="44" fontId="4" fillId="5" borderId="0" xfId="1" applyNumberFormat="1" applyFont="1" applyFill="1" applyAlignment="1">
      <alignment horizontal="center"/>
    </xf>
    <xf numFmtId="10" fontId="18" fillId="5" borderId="0" xfId="4" applyNumberFormat="1" applyFont="1" applyFill="1">
      <alignment horizontal="right"/>
    </xf>
    <xf numFmtId="44" fontId="22" fillId="0" borderId="0" xfId="1" applyFont="1" applyFill="1" applyAlignment="1">
      <alignment horizontal="left"/>
    </xf>
    <xf numFmtId="44" fontId="17" fillId="0" borderId="1" xfId="1" applyFont="1" applyFill="1" applyBorder="1" applyAlignment="1">
      <alignment horizontal="right"/>
    </xf>
    <xf numFmtId="44" fontId="17" fillId="0" borderId="1" xfId="1" applyFont="1" applyFill="1" applyBorder="1" applyAlignment="1">
      <alignment horizontal="left"/>
    </xf>
    <xf numFmtId="1" fontId="17" fillId="0" borderId="0" xfId="4" applyFont="1" applyFill="1" applyBorder="1">
      <alignment horizontal="right"/>
    </xf>
    <xf numFmtId="1" fontId="18" fillId="3" borderId="1" xfId="4" applyFont="1" applyFill="1" applyBorder="1">
      <alignment horizontal="right"/>
    </xf>
    <xf numFmtId="9" fontId="17" fillId="0" borderId="0" xfId="4" applyNumberFormat="1" applyFont="1" applyFill="1">
      <alignment horizontal="right"/>
    </xf>
    <xf numFmtId="1" fontId="4" fillId="0" borderId="0" xfId="4" applyFont="1" applyFill="1" applyAlignment="1">
      <alignment horizontal="left"/>
    </xf>
    <xf numFmtId="44" fontId="17" fillId="0" borderId="0" xfId="1" applyFont="1" applyFill="1" applyAlignment="1">
      <alignment horizontal="center"/>
    </xf>
    <xf numFmtId="44" fontId="4" fillId="5" borderId="0" xfId="1" applyFont="1" applyFill="1" applyAlignment="1">
      <alignment horizontal="right"/>
    </xf>
    <xf numFmtId="1" fontId="4" fillId="0" borderId="0" xfId="4" applyFont="1" applyFill="1" applyBorder="1" applyAlignment="1">
      <alignment horizontal="center"/>
    </xf>
    <xf numFmtId="1" fontId="20" fillId="0" borderId="0" xfId="4" applyFont="1" applyFill="1" applyAlignment="1">
      <alignment horizontal="left"/>
    </xf>
    <xf numFmtId="1" fontId="17" fillId="0" borderId="0" xfId="4" applyFont="1" applyFill="1" applyAlignment="1">
      <alignment horizontal="left"/>
    </xf>
    <xf numFmtId="44" fontId="4" fillId="3" borderId="0" xfId="1" applyFont="1" applyFill="1" applyAlignment="1">
      <alignment horizontal="left"/>
    </xf>
    <xf numFmtId="44" fontId="16" fillId="3" borderId="0" xfId="1" applyFont="1" applyFill="1" applyAlignment="1">
      <alignment horizontal="right"/>
    </xf>
    <xf numFmtId="44" fontId="16" fillId="3" borderId="0" xfId="1" applyFont="1" applyFill="1" applyAlignment="1">
      <alignment horizontal="left"/>
    </xf>
    <xf numFmtId="10" fontId="17" fillId="3" borderId="0" xfId="4" applyNumberFormat="1" applyFont="1" applyFill="1">
      <alignment horizontal="right"/>
    </xf>
    <xf numFmtId="1" fontId="17" fillId="3" borderId="0" xfId="4" applyFont="1" applyFill="1" applyAlignment="1">
      <alignment horizontal="left"/>
    </xf>
    <xf numFmtId="44" fontId="4" fillId="3" borderId="0" xfId="1" applyFont="1" applyFill="1" applyAlignment="1">
      <alignment horizontal="right"/>
    </xf>
    <xf numFmtId="44" fontId="4" fillId="3" borderId="0" xfId="1" applyFont="1" applyFill="1" applyBorder="1" applyAlignment="1">
      <alignment horizontal="right"/>
    </xf>
    <xf numFmtId="10" fontId="18" fillId="3" borderId="0" xfId="4" applyNumberFormat="1" applyFont="1" applyFill="1">
      <alignment horizontal="right"/>
    </xf>
    <xf numFmtId="44" fontId="18" fillId="3" borderId="0" xfId="4" applyNumberFormat="1" applyFont="1" applyFill="1">
      <alignment horizontal="right"/>
    </xf>
    <xf numFmtId="10" fontId="4" fillId="3" borderId="0" xfId="1" applyNumberFormat="1" applyFont="1" applyFill="1" applyAlignment="1">
      <alignment horizontal="center"/>
    </xf>
    <xf numFmtId="44" fontId="16" fillId="0" borderId="0" xfId="1" applyFont="1" applyFill="1" applyBorder="1" applyAlignment="1">
      <alignment horizontal="right"/>
    </xf>
    <xf numFmtId="44" fontId="16" fillId="0" borderId="0" xfId="1" applyFont="1" applyBorder="1" applyAlignment="1">
      <alignment horizontal="right"/>
    </xf>
    <xf numFmtId="44" fontId="16" fillId="0" borderId="0" xfId="1" applyFont="1" applyFill="1" applyBorder="1" applyAlignment="1">
      <alignment horizontal="left"/>
    </xf>
    <xf numFmtId="44" fontId="4" fillId="0" borderId="0" xfId="1" applyFont="1" applyFill="1" applyBorder="1" applyAlignment="1">
      <alignment horizontal="left"/>
    </xf>
    <xf numFmtId="10" fontId="17" fillId="0" borderId="0" xfId="4" applyNumberFormat="1" applyFont="1" applyFill="1" applyBorder="1">
      <alignment horizontal="right"/>
    </xf>
    <xf numFmtId="10" fontId="18" fillId="0" borderId="0" xfId="4" applyNumberFormat="1" applyFont="1" applyFill="1" applyBorder="1">
      <alignment horizontal="right"/>
    </xf>
    <xf numFmtId="44" fontId="18" fillId="0" borderId="0" xfId="4" applyNumberFormat="1" applyFont="1" applyFill="1" applyBorder="1">
      <alignment horizontal="right"/>
    </xf>
    <xf numFmtId="10" fontId="4" fillId="0" borderId="0" xfId="1" applyNumberFormat="1" applyFont="1" applyFill="1" applyBorder="1" applyAlignment="1">
      <alignment horizontal="center"/>
    </xf>
    <xf numFmtId="1" fontId="23" fillId="0" borderId="0" xfId="4" applyFont="1" applyFill="1">
      <alignment horizontal="right"/>
    </xf>
    <xf numFmtId="44" fontId="23" fillId="0" borderId="0" xfId="1" applyFont="1" applyFill="1" applyAlignment="1">
      <alignment horizontal="right"/>
    </xf>
    <xf numFmtId="44" fontId="16" fillId="0" borderId="4" xfId="1" applyFont="1" applyFill="1" applyBorder="1" applyAlignment="1">
      <alignment horizontal="right"/>
    </xf>
    <xf numFmtId="44" fontId="16" fillId="0" borderId="4" xfId="1" applyFont="1" applyBorder="1" applyAlignment="1">
      <alignment horizontal="right"/>
    </xf>
    <xf numFmtId="44" fontId="23" fillId="0" borderId="4" xfId="1" applyFont="1" applyFill="1" applyBorder="1" applyAlignment="1">
      <alignment horizontal="right"/>
    </xf>
    <xf numFmtId="44" fontId="17" fillId="0" borderId="4" xfId="1" applyFont="1" applyFill="1" applyBorder="1" applyAlignment="1">
      <alignment horizontal="left"/>
    </xf>
    <xf numFmtId="1" fontId="23" fillId="0" borderId="4" xfId="4" applyFont="1" applyFill="1" applyBorder="1">
      <alignment horizontal="right"/>
    </xf>
    <xf numFmtId="44" fontId="16" fillId="0" borderId="4" xfId="1" applyFont="1" applyFill="1" applyBorder="1" applyAlignment="1">
      <alignment horizontal="left"/>
    </xf>
    <xf numFmtId="44" fontId="4" fillId="0" borderId="4" xfId="1" applyFont="1" applyFill="1" applyBorder="1" applyAlignment="1">
      <alignment horizontal="right"/>
    </xf>
    <xf numFmtId="44" fontId="4" fillId="0" borderId="4" xfId="1" applyFont="1" applyFill="1" applyBorder="1" applyAlignment="1">
      <alignment horizontal="left"/>
    </xf>
    <xf numFmtId="1" fontId="23" fillId="0" borderId="5" xfId="4" applyFont="1" applyFill="1" applyBorder="1">
      <alignment horizontal="right"/>
    </xf>
    <xf numFmtId="1" fontId="23" fillId="0" borderId="1" xfId="4" applyFont="1" applyFill="1" applyBorder="1">
      <alignment horizontal="right"/>
    </xf>
    <xf numFmtId="1" fontId="23" fillId="0" borderId="0" xfId="4" applyFont="1" applyFill="1" applyBorder="1">
      <alignment horizontal="right"/>
    </xf>
    <xf numFmtId="44" fontId="16" fillId="3" borderId="1" xfId="1" quotePrefix="1" applyFont="1" applyFill="1" applyBorder="1" applyAlignment="1">
      <alignment horizontal="right"/>
    </xf>
    <xf numFmtId="1" fontId="18" fillId="3" borderId="1" xfId="4" applyFont="1" applyFill="1" applyBorder="1" applyAlignment="1">
      <alignment horizontal="left"/>
    </xf>
    <xf numFmtId="44" fontId="4" fillId="3" borderId="1" xfId="1" applyNumberFormat="1" applyFont="1" applyFill="1" applyBorder="1" applyAlignment="1">
      <alignment horizontal="center"/>
    </xf>
    <xf numFmtId="44" fontId="16" fillId="3" borderId="0" xfId="1" quotePrefix="1" applyFont="1" applyFill="1" applyBorder="1" applyAlignment="1">
      <alignment horizontal="right"/>
    </xf>
    <xf numFmtId="44" fontId="16" fillId="3" borderId="0" xfId="1" applyFont="1" applyFill="1" applyBorder="1" applyAlignment="1">
      <alignment horizontal="right"/>
    </xf>
    <xf numFmtId="44" fontId="16" fillId="3" borderId="0" xfId="1" applyFont="1" applyFill="1" applyBorder="1" applyAlignment="1">
      <alignment horizontal="left"/>
    </xf>
    <xf numFmtId="44" fontId="4" fillId="3" borderId="0" xfId="1" applyFont="1" applyFill="1" applyBorder="1" applyAlignment="1">
      <alignment horizontal="left"/>
    </xf>
    <xf numFmtId="10" fontId="17" fillId="3" borderId="0" xfId="4" applyNumberFormat="1" applyFont="1" applyFill="1" applyBorder="1">
      <alignment horizontal="right"/>
    </xf>
    <xf numFmtId="1" fontId="18" fillId="3" borderId="0" xfId="4" applyFont="1" applyFill="1" applyBorder="1" applyAlignment="1">
      <alignment horizontal="left"/>
    </xf>
    <xf numFmtId="10" fontId="18" fillId="3" borderId="0" xfId="4" applyNumberFormat="1" applyFont="1" applyFill="1" applyBorder="1">
      <alignment horizontal="right"/>
    </xf>
    <xf numFmtId="44" fontId="18" fillId="3" borderId="0" xfId="4" applyNumberFormat="1" applyFont="1" applyFill="1" applyBorder="1">
      <alignment horizontal="right"/>
    </xf>
    <xf numFmtId="10" fontId="4" fillId="3" borderId="0" xfId="1" applyNumberFormat="1" applyFont="1" applyFill="1" applyBorder="1" applyAlignment="1">
      <alignment horizontal="center"/>
    </xf>
    <xf numFmtId="1" fontId="18" fillId="0" borderId="0" xfId="4" applyFont="1" applyFill="1" applyAlignment="1">
      <alignment horizontal="left"/>
    </xf>
    <xf numFmtId="5" fontId="16" fillId="0" borderId="0" xfId="4" applyNumberFormat="1" applyFont="1" applyFill="1" applyAlignment="1">
      <alignment horizontal="center"/>
    </xf>
    <xf numFmtId="5" fontId="24" fillId="0" borderId="0" xfId="4" applyNumberFormat="1" applyFont="1" applyFill="1" applyAlignment="1">
      <alignment horizontal="left"/>
    </xf>
    <xf numFmtId="1" fontId="1" fillId="0" borderId="0" xfId="4">
      <alignment horizontal="right"/>
    </xf>
    <xf numFmtId="5" fontId="17" fillId="0" borderId="0" xfId="4" applyNumberFormat="1" applyFont="1" applyFill="1">
      <alignment horizontal="right"/>
    </xf>
    <xf numFmtId="1" fontId="25" fillId="0" borderId="0" xfId="4" applyFont="1" applyBorder="1" applyAlignment="1">
      <alignment horizontal="centerContinuous"/>
    </xf>
    <xf numFmtId="1" fontId="1" fillId="0" borderId="0" xfId="4" applyBorder="1" applyAlignment="1">
      <alignment horizontal="centerContinuous"/>
    </xf>
    <xf numFmtId="1" fontId="1" fillId="0" borderId="6" xfId="4" applyBorder="1" applyAlignment="1">
      <alignment horizontal="centerContinuous"/>
    </xf>
    <xf numFmtId="5" fontId="17" fillId="0" borderId="0" xfId="4" applyNumberFormat="1" applyFont="1" applyFill="1" applyBorder="1">
      <alignment horizontal="right"/>
    </xf>
    <xf numFmtId="5" fontId="18" fillId="0" borderId="0" xfId="4" applyNumberFormat="1" applyFont="1" applyFill="1" applyBorder="1">
      <alignment horizontal="right"/>
    </xf>
    <xf numFmtId="44" fontId="18" fillId="0" borderId="0" xfId="1" applyFont="1" applyFill="1" applyBorder="1" applyAlignment="1">
      <alignment horizontal="right"/>
    </xf>
    <xf numFmtId="5" fontId="18" fillId="0" borderId="0" xfId="4" applyNumberFormat="1" applyFont="1" applyFill="1" applyAlignment="1">
      <alignment horizontal="left"/>
    </xf>
    <xf numFmtId="1" fontId="10" fillId="0" borderId="0" xfId="4" applyFont="1" applyBorder="1" applyAlignment="1">
      <alignment horizontal="centerContinuous"/>
    </xf>
    <xf numFmtId="1" fontId="26" fillId="0" borderId="0" xfId="4" applyFont="1" applyBorder="1">
      <alignment horizontal="right"/>
    </xf>
    <xf numFmtId="1" fontId="26" fillId="0" borderId="6" xfId="4" applyFont="1" applyBorder="1">
      <alignment horizontal="right"/>
    </xf>
    <xf numFmtId="14" fontId="26" fillId="0" borderId="0" xfId="4" applyNumberFormat="1" applyFont="1" applyBorder="1">
      <alignment horizontal="right"/>
    </xf>
    <xf numFmtId="1" fontId="27" fillId="0" borderId="0" xfId="4" applyFont="1" applyBorder="1">
      <alignment horizontal="right"/>
    </xf>
    <xf numFmtId="8" fontId="27" fillId="0" borderId="0" xfId="4" applyNumberFormat="1" applyFont="1" applyBorder="1">
      <alignment horizontal="right"/>
    </xf>
    <xf numFmtId="8" fontId="27" fillId="0" borderId="6" xfId="4" applyNumberFormat="1" applyFont="1" applyBorder="1">
      <alignment horizontal="right"/>
    </xf>
    <xf numFmtId="1" fontId="16" fillId="0" borderId="0" xfId="4" applyFont="1" applyBorder="1">
      <alignment horizontal="right"/>
    </xf>
    <xf numFmtId="0" fontId="1" fillId="0" borderId="0" xfId="4" quotePrefix="1" applyNumberFormat="1" applyBorder="1">
      <alignment horizontal="right"/>
    </xf>
    <xf numFmtId="8" fontId="1" fillId="0" borderId="0" xfId="4" applyNumberFormat="1" applyBorder="1">
      <alignment horizontal="right"/>
    </xf>
    <xf numFmtId="0" fontId="27" fillId="0" borderId="0" xfId="4" applyNumberFormat="1" applyFont="1" applyBorder="1">
      <alignment horizontal="right"/>
    </xf>
    <xf numFmtId="1" fontId="4" fillId="0" borderId="0" xfId="4" applyFont="1" applyFill="1">
      <alignment horizontal="right"/>
    </xf>
    <xf numFmtId="1" fontId="27" fillId="0" borderId="3" xfId="4" applyFont="1" applyBorder="1">
      <alignment horizontal="right"/>
    </xf>
    <xf numFmtId="8" fontId="1" fillId="0" borderId="3" xfId="4" applyNumberFormat="1" applyBorder="1">
      <alignment horizontal="right"/>
    </xf>
    <xf numFmtId="8" fontId="27" fillId="0" borderId="7" xfId="4" applyNumberFormat="1" applyFont="1" applyBorder="1">
      <alignment horizontal="right"/>
    </xf>
  </cellXfs>
  <cellStyles count="5">
    <cellStyle name="Currency" xfId="1" builtinId="4"/>
    <cellStyle name="Currency 2" xfId="2"/>
    <cellStyle name="Normal" xfId="0" builtinId="0"/>
    <cellStyle name="Normal 2" xfId="3"/>
    <cellStyle name="Normal_FY 04BUDGET WORKSHEETS BILL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kspeidel/Local%20Settings/Temporary%20Internet%20Files/OLKBB/FY08%20REVENUE%20EXPENDITURES%20MARCH%2031%20MEETING%20FIN%20COMM%20REPOR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brochu/Documents/FY18%20Budget%20Master/FY2018%20REVENUE%20EXPENDITUR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lemieux/AppData/Local/Microsoft/Windows/INetCache/Content.Outlook/C3VZURIM/FY2019%20REVENUE%20EXPENDITU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Y18  ACTUAL CHERRY SHEET"/>
      <sheetName val="FY17  3.23.16 TM"/>
      <sheetName val="FY17 Omnibus Budget"/>
      <sheetName val="FY17  HWM 4.13.16"/>
      <sheetName val="Changes in Debt Service"/>
      <sheetName val="FY17 Manager 2.4.16"/>
      <sheetName val="FY17 Manager 2.2.16"/>
      <sheetName val="FY 17 Governor's Proposal"/>
      <sheetName val="FY 17 Initial Projection"/>
      <sheetName val="FY17 CHERRY SHEET "/>
      <sheetName val="FY 16 ACTUAL PER RECAP"/>
      <sheetName val="FY 16 ACTUAL CS stm adj"/>
      <sheetName val="FY 16 ACTUAL CHERRY SHEET"/>
      <sheetName val="FY 16 4.2.15 FIN COMM"/>
      <sheetName val="FY 16 TM 3.26.15"/>
      <sheetName val="FY16 Gov Proposal"/>
      <sheetName val="FY16 Initial Projection"/>
      <sheetName val="16 Omnibus Revised Categories"/>
      <sheetName val="FY15 PROJ Per Recap"/>
      <sheetName val="FY15 PROJECTION Actual CS"/>
      <sheetName val="FY15 PROJECTION Revised 4.8.14"/>
      <sheetName val="FY16 CHERRY SHEET"/>
      <sheetName val="Changes from ATM to Present"/>
      <sheetName val="FY08 PROJECTIONS"/>
      <sheetName val="Omnibus"/>
      <sheetName val="EXPLANATIONS"/>
      <sheetName val="LOCAL RECEIPTS"/>
      <sheetName val="CHERRY SHEET CHANGES"/>
      <sheetName val="CHANGES FROM LAST PROJECTION"/>
      <sheetName val="calculation of levy"/>
      <sheetName val="Cherry Sheet Analys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>
        <row r="7">
          <cell r="AO7">
            <v>1701296</v>
          </cell>
        </row>
        <row r="8">
          <cell r="AO8">
            <v>945109</v>
          </cell>
        </row>
        <row r="9">
          <cell r="AO9">
            <v>15000</v>
          </cell>
        </row>
        <row r="30">
          <cell r="AO30">
            <v>2313456</v>
          </cell>
        </row>
        <row r="58">
          <cell r="AO58">
            <v>1227125</v>
          </cell>
        </row>
        <row r="61">
          <cell r="AO61">
            <v>64200</v>
          </cell>
        </row>
        <row r="92">
          <cell r="AO92">
            <v>2353651</v>
          </cell>
        </row>
        <row r="101">
          <cell r="AO101">
            <v>69580</v>
          </cell>
        </row>
        <row r="121">
          <cell r="AO121">
            <v>1261337</v>
          </cell>
        </row>
        <row r="135">
          <cell r="AO135">
            <v>90292</v>
          </cell>
        </row>
        <row r="145">
          <cell r="AO145">
            <v>15811912</v>
          </cell>
        </row>
        <row r="150">
          <cell r="AO150">
            <v>316207</v>
          </cell>
        </row>
        <row r="153">
          <cell r="AO153">
            <v>0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Y18 PROJ Final CS Cert NG"/>
      <sheetName val="FY18 PROJECTION 3.30.17"/>
      <sheetName val="FY18 ORIGINAL PROJECTION"/>
      <sheetName val="FY18 Omnibus Budget"/>
      <sheetName val="FY18 CHERRY SHEET  "/>
      <sheetName val="FY17  ACTUAL CHERRY SHEET"/>
      <sheetName val="FY17  3.23.16 TM"/>
      <sheetName val="FY17  HWM 4.13.16"/>
      <sheetName val="Changes in Debt Service"/>
      <sheetName val="FY17 Manager 2.4.16"/>
      <sheetName val="FY17 Manager 2.2.16"/>
      <sheetName val="FY 17 Governor's Proposal"/>
      <sheetName val="FY 17 Initial Projection"/>
      <sheetName val="FY17 CHERRY SHEET "/>
      <sheetName val="FY 16 ACTUAL PER RECAP"/>
      <sheetName val="FY 16 ACTUAL CS stm adj"/>
      <sheetName val="FY 16 ACTUAL CHERRY SHEET"/>
      <sheetName val="FY 16 4.2.15 FIN COMM"/>
      <sheetName val="FY 16 TM 3.26.15"/>
      <sheetName val="FY16 Gov Proposal"/>
      <sheetName val="FY16 Initial Projection"/>
      <sheetName val="16 Omnibus Revised Categories"/>
      <sheetName val="FY15 PROJ Per Recap"/>
      <sheetName val="FY15 PROJECTION Actual CS"/>
      <sheetName val="FY15 PROJECTION Revised 4.8.14"/>
      <sheetName val="FY16 CHERRY SHEET"/>
      <sheetName val="Changes from ATM to Present"/>
    </sheetNames>
    <sheetDataSet>
      <sheetData sheetId="0"/>
      <sheetData sheetId="1"/>
      <sheetData sheetId="2"/>
      <sheetData sheetId="3">
        <row r="7">
          <cell r="CA7">
            <v>3097672</v>
          </cell>
          <cell r="CB7">
            <v>3102790.88</v>
          </cell>
          <cell r="CC7">
            <v>3102790.88</v>
          </cell>
          <cell r="CD7">
            <v>3102790.88</v>
          </cell>
        </row>
        <row r="8">
          <cell r="CA8">
            <v>1742303</v>
          </cell>
          <cell r="CB8">
            <v>1686358.68</v>
          </cell>
          <cell r="CC8">
            <v>1686358.68</v>
          </cell>
        </row>
        <row r="9">
          <cell r="CA9">
            <v>1184</v>
          </cell>
          <cell r="CB9">
            <v>0</v>
          </cell>
          <cell r="CC9">
            <v>0</v>
          </cell>
        </row>
        <row r="10">
          <cell r="CA10">
            <v>16856</v>
          </cell>
          <cell r="CB10">
            <v>7708.68</v>
          </cell>
          <cell r="CC10">
            <v>7708.68</v>
          </cell>
        </row>
        <row r="11">
          <cell r="CA11">
            <v>0</v>
          </cell>
          <cell r="CB11">
            <v>0</v>
          </cell>
          <cell r="CC11">
            <v>0</v>
          </cell>
        </row>
        <row r="32">
          <cell r="CA32">
            <v>2634326.4700000002</v>
          </cell>
          <cell r="CB32">
            <v>2881599.67</v>
          </cell>
          <cell r="CC32">
            <v>2881599.67</v>
          </cell>
        </row>
        <row r="58">
          <cell r="CA58">
            <v>1293854.3599999999</v>
          </cell>
          <cell r="CB58">
            <v>1308104.98</v>
          </cell>
          <cell r="CC58">
            <v>1339374.98</v>
          </cell>
          <cell r="CD58">
            <v>1336338.98</v>
          </cell>
        </row>
        <row r="63">
          <cell r="CA63">
            <v>55303</v>
          </cell>
          <cell r="CB63">
            <v>55303</v>
          </cell>
          <cell r="CC63">
            <v>55303</v>
          </cell>
          <cell r="CD63">
            <v>55303</v>
          </cell>
        </row>
        <row r="94">
          <cell r="CA94">
            <v>2738631.63</v>
          </cell>
          <cell r="CB94">
            <v>2816429.35</v>
          </cell>
          <cell r="CC94">
            <v>3657766.3499999996</v>
          </cell>
          <cell r="CD94">
            <v>2941492.35</v>
          </cell>
        </row>
        <row r="103">
          <cell r="CA103">
            <v>69154</v>
          </cell>
          <cell r="CB103">
            <v>70866.950000000012</v>
          </cell>
          <cell r="CC103">
            <v>70866.950000000012</v>
          </cell>
          <cell r="CD103">
            <v>70866.950000000012</v>
          </cell>
        </row>
        <row r="121">
          <cell r="CA121">
            <v>1688444.26</v>
          </cell>
          <cell r="CB121">
            <v>1539171.3800000001</v>
          </cell>
          <cell r="CC121">
            <v>1589171.3800000001</v>
          </cell>
          <cell r="CD121">
            <v>1589171.3800000001</v>
          </cell>
        </row>
        <row r="128">
          <cell r="CA128">
            <v>610978.08000000007</v>
          </cell>
          <cell r="CB128">
            <v>615494.19000000006</v>
          </cell>
          <cell r="CC128">
            <v>615494.19000000006</v>
          </cell>
        </row>
        <row r="133">
          <cell r="CA133">
            <v>174150</v>
          </cell>
          <cell r="CB133">
            <v>153230</v>
          </cell>
          <cell r="CC133">
            <v>153230</v>
          </cell>
          <cell r="CD133">
            <v>153230</v>
          </cell>
        </row>
        <row r="147">
          <cell r="CA147">
            <v>219594.12</v>
          </cell>
          <cell r="CB147">
            <v>231156.74</v>
          </cell>
          <cell r="CC147">
            <v>239799.78</v>
          </cell>
          <cell r="CD147">
            <v>239799.78</v>
          </cell>
        </row>
        <row r="157">
          <cell r="CA157">
            <v>19353967</v>
          </cell>
          <cell r="CB157">
            <v>20680161.350000001</v>
          </cell>
          <cell r="CC157">
            <v>20680161.350000001</v>
          </cell>
          <cell r="CD157">
            <v>20598833</v>
          </cell>
        </row>
        <row r="162">
          <cell r="CA162">
            <v>371773.12</v>
          </cell>
          <cell r="CB162">
            <v>378322.02</v>
          </cell>
          <cell r="CC162">
            <v>381709.86000000004</v>
          </cell>
          <cell r="CD162">
            <v>381709.86000000004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7">
          <cell r="BT7">
            <v>2054987</v>
          </cell>
          <cell r="BU7">
            <v>2079853</v>
          </cell>
          <cell r="BW7">
            <v>2876260</v>
          </cell>
        </row>
        <row r="8">
          <cell r="BT8">
            <v>780664</v>
          </cell>
          <cell r="BU8">
            <v>720264</v>
          </cell>
          <cell r="BW8">
            <v>1674464</v>
          </cell>
        </row>
        <row r="9">
          <cell r="BT9">
            <v>18750</v>
          </cell>
          <cell r="BU9">
            <v>169938</v>
          </cell>
          <cell r="BW9">
            <v>0</v>
          </cell>
        </row>
        <row r="10">
          <cell r="BT10">
            <v>8778</v>
          </cell>
          <cell r="BU10">
            <v>8001</v>
          </cell>
          <cell r="BW10">
            <v>7196</v>
          </cell>
        </row>
        <row r="11">
          <cell r="BT11">
            <v>0</v>
          </cell>
          <cell r="BU11">
            <v>0</v>
          </cell>
        </row>
        <row r="32">
          <cell r="BT32">
            <v>2382480</v>
          </cell>
          <cell r="BU32">
            <v>2217069</v>
          </cell>
          <cell r="BW32">
            <v>2426584</v>
          </cell>
        </row>
        <row r="58">
          <cell r="BT58">
            <v>1153634</v>
          </cell>
          <cell r="BU58">
            <v>1237183</v>
          </cell>
          <cell r="BW58">
            <v>1233661</v>
          </cell>
        </row>
        <row r="61">
          <cell r="BT61">
            <v>54015</v>
          </cell>
          <cell r="BU61">
            <v>52950</v>
          </cell>
          <cell r="BW61">
            <v>52950</v>
          </cell>
        </row>
        <row r="94">
          <cell r="BT94">
            <v>2386790</v>
          </cell>
          <cell r="BU94">
            <v>2441283</v>
          </cell>
          <cell r="BW94">
            <v>2638990</v>
          </cell>
        </row>
        <row r="103">
          <cell r="BT103">
            <v>64090</v>
          </cell>
          <cell r="BU103">
            <v>65029</v>
          </cell>
          <cell r="BW103">
            <v>66663</v>
          </cell>
        </row>
        <row r="121">
          <cell r="BT121">
            <v>1195067</v>
          </cell>
          <cell r="BU121">
            <v>1354912</v>
          </cell>
          <cell r="BW121">
            <v>1467738</v>
          </cell>
        </row>
        <row r="128">
          <cell r="BT128">
            <v>585163</v>
          </cell>
          <cell r="BU128">
            <v>590754</v>
          </cell>
          <cell r="BW128">
            <v>625370</v>
          </cell>
        </row>
        <row r="133">
          <cell r="BT133">
            <v>183092</v>
          </cell>
          <cell r="BU133">
            <v>193754</v>
          </cell>
          <cell r="BW133">
            <v>147000</v>
          </cell>
        </row>
        <row r="147">
          <cell r="BT147">
            <v>122507</v>
          </cell>
          <cell r="BU147">
            <v>129712</v>
          </cell>
          <cell r="BW147">
            <v>217710</v>
          </cell>
        </row>
        <row r="157">
          <cell r="BT157">
            <v>16831683</v>
          </cell>
          <cell r="BU157">
            <v>17465477</v>
          </cell>
          <cell r="BW157">
            <v>18314570</v>
          </cell>
        </row>
        <row r="162">
          <cell r="BT162">
            <v>355563</v>
          </cell>
          <cell r="BU162">
            <v>353205</v>
          </cell>
          <cell r="BW162">
            <v>363849</v>
          </cell>
        </row>
      </sheetData>
      <sheetData sheetId="22"/>
      <sheetData sheetId="23"/>
      <sheetData sheetId="24"/>
      <sheetData sheetId="25"/>
      <sheetData sheetId="2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Y19 Rev Exp 4.25.18 Bond"/>
      <sheetName val="FY19 Revenues Expenditures Gov "/>
      <sheetName val="Adjustment from 2.15.18 TM"/>
      <sheetName val="FY19 Revenues Expenditures"/>
      <sheetName val="FY19 Omnibus Budget"/>
      <sheetName val="FY19 CHERRY SHEET  "/>
      <sheetName val="FY18 PROJ Final CS Cert NG"/>
      <sheetName val="FY18 Omnibus Budget"/>
      <sheetName val="FY18 CHERRY SHEET  "/>
      <sheetName val="11.28.17 FY18 Budget Adj  "/>
    </sheetNames>
    <sheetDataSet>
      <sheetData sheetId="0"/>
      <sheetData sheetId="1"/>
      <sheetData sheetId="2"/>
      <sheetData sheetId="3"/>
      <sheetData sheetId="4">
        <row r="7">
          <cell r="CF7">
            <v>3095185.66</v>
          </cell>
        </row>
        <row r="8">
          <cell r="CF8">
            <v>1623033.16</v>
          </cell>
        </row>
        <row r="9">
          <cell r="CF9">
            <v>33491.78</v>
          </cell>
        </row>
        <row r="10">
          <cell r="CF10">
            <v>6341.9</v>
          </cell>
        </row>
        <row r="11">
          <cell r="CF11">
            <v>0</v>
          </cell>
        </row>
        <row r="34">
          <cell r="CF34">
            <v>3144790.55</v>
          </cell>
        </row>
        <row r="60">
          <cell r="CF60">
            <v>1401119.2499999998</v>
          </cell>
        </row>
        <row r="65">
          <cell r="CF65">
            <v>55303</v>
          </cell>
        </row>
        <row r="96">
          <cell r="CF96">
            <v>3197960.2199999997</v>
          </cell>
        </row>
        <row r="105">
          <cell r="CF105">
            <v>73838.58</v>
          </cell>
        </row>
        <row r="123">
          <cell r="CF123">
            <v>1668378.3699999999</v>
          </cell>
        </row>
        <row r="130">
          <cell r="CF130">
            <v>670851.69000000006</v>
          </cell>
        </row>
        <row r="135">
          <cell r="CF135">
            <v>156359.88</v>
          </cell>
        </row>
        <row r="149">
          <cell r="CF149">
            <v>245493.56</v>
          </cell>
        </row>
        <row r="159">
          <cell r="CF159">
            <v>21031807.469999999</v>
          </cell>
        </row>
        <row r="164">
          <cell r="CF164">
            <v>400453.76</v>
          </cell>
        </row>
      </sheetData>
      <sheetData sheetId="5"/>
      <sheetData sheetId="6"/>
      <sheetData sheetId="7">
        <row r="8">
          <cell r="CD8">
            <v>1686358.68</v>
          </cell>
        </row>
        <row r="9">
          <cell r="CD9">
            <v>27250</v>
          </cell>
        </row>
        <row r="10">
          <cell r="CD10">
            <v>7708.68</v>
          </cell>
        </row>
        <row r="11">
          <cell r="CD11">
            <v>0</v>
          </cell>
        </row>
        <row r="32">
          <cell r="CD32">
            <v>2911295.9699999997</v>
          </cell>
        </row>
        <row r="128">
          <cell r="CD128">
            <v>753216.19000000006</v>
          </cell>
        </row>
      </sheetData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7" tint="-0.249977111117893"/>
    <pageSetUpPr fitToPage="1"/>
  </sheetPr>
  <dimension ref="A1:BE118"/>
  <sheetViews>
    <sheetView topLeftCell="T43" zoomScaleNormal="100" workbookViewId="0">
      <selection activeCell="BA5" sqref="BA5"/>
    </sheetView>
  </sheetViews>
  <sheetFormatPr defaultRowHeight="12.7" x14ac:dyDescent="0.4"/>
  <cols>
    <col min="1" max="1" width="38.52734375" bestFit="1" customWidth="1"/>
    <col min="2" max="2" width="20.87890625" hidden="1" customWidth="1"/>
    <col min="3" max="7" width="20.64453125" style="8" hidden="1" customWidth="1"/>
    <col min="8" max="8" width="20.41015625" style="8" hidden="1" customWidth="1"/>
    <col min="9" max="9" width="18.41015625" style="8" hidden="1" customWidth="1"/>
    <col min="10" max="10" width="20.41015625" style="8" hidden="1" customWidth="1"/>
    <col min="11" max="18" width="19.52734375" style="8" hidden="1" customWidth="1"/>
    <col min="19" max="21" width="19.52734375" style="8" customWidth="1"/>
    <col min="22" max="22" width="32.64453125" bestFit="1" customWidth="1"/>
    <col min="23" max="23" width="16.64453125" hidden="1" customWidth="1"/>
    <col min="24" max="24" width="19.87890625" style="8" hidden="1" customWidth="1"/>
    <col min="25" max="26" width="20.64453125" style="8" hidden="1" customWidth="1"/>
    <col min="27" max="27" width="20.41015625" hidden="1" customWidth="1"/>
    <col min="28" max="31" width="20.64453125" hidden="1" customWidth="1"/>
    <col min="32" max="32" width="20.41015625" hidden="1" customWidth="1"/>
    <col min="33" max="35" width="20.64453125" hidden="1" customWidth="1"/>
    <col min="36" max="36" width="18.41015625" hidden="1" customWidth="1"/>
    <col min="37" max="37" width="28.64453125" hidden="1" customWidth="1"/>
    <col min="38" max="38" width="25.52734375" hidden="1" customWidth="1"/>
    <col min="39" max="39" width="20.41015625" hidden="1" customWidth="1"/>
    <col min="40" max="40" width="19.64453125" hidden="1" customWidth="1"/>
    <col min="41" max="45" width="25" hidden="1" customWidth="1"/>
    <col min="46" max="46" width="29" hidden="1" customWidth="1"/>
    <col min="47" max="49" width="25" hidden="1" customWidth="1"/>
    <col min="50" max="50" width="25" customWidth="1"/>
    <col min="51" max="52" width="25" hidden="1" customWidth="1"/>
    <col min="53" max="54" width="25" customWidth="1"/>
    <col min="55" max="55" width="15.1171875" bestFit="1" customWidth="1"/>
    <col min="56" max="56" width="12.41015625" bestFit="1" customWidth="1"/>
  </cols>
  <sheetData>
    <row r="1" spans="1:56" ht="21.35" x14ac:dyDescent="0.9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  <c r="W1" s="2"/>
      <c r="X1" s="3"/>
      <c r="Y1" s="3"/>
      <c r="Z1" s="3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</row>
    <row r="2" spans="1:56" ht="13.7" x14ac:dyDescent="0.4">
      <c r="A2" s="5"/>
      <c r="B2" s="6" t="s">
        <v>1</v>
      </c>
      <c r="C2" s="7" t="s">
        <v>2</v>
      </c>
      <c r="D2" s="7" t="s">
        <v>3</v>
      </c>
      <c r="F2" s="7" t="s">
        <v>4</v>
      </c>
      <c r="G2" s="7"/>
      <c r="W2" s="6" t="s">
        <v>1</v>
      </c>
      <c r="X2" s="9" t="s">
        <v>5</v>
      </c>
      <c r="Y2" s="9" t="s">
        <v>3</v>
      </c>
      <c r="Z2" s="9" t="s">
        <v>6</v>
      </c>
      <c r="AB2" s="9" t="s">
        <v>7</v>
      </c>
      <c r="AC2" s="9" t="s">
        <v>8</v>
      </c>
      <c r="AD2" s="9" t="s">
        <v>9</v>
      </c>
      <c r="AE2" s="9"/>
      <c r="AG2" s="9" t="s">
        <v>10</v>
      </c>
      <c r="AH2" s="9" t="s">
        <v>11</v>
      </c>
      <c r="AI2" s="9" t="s">
        <v>11</v>
      </c>
      <c r="AJ2" s="9"/>
      <c r="AK2" s="9" t="s">
        <v>12</v>
      </c>
      <c r="AL2" s="9"/>
      <c r="AM2" s="9"/>
    </row>
    <row r="3" spans="1:56" ht="13.7" x14ac:dyDescent="0.4">
      <c r="A3" s="5"/>
      <c r="B3" s="6"/>
      <c r="C3" s="7"/>
      <c r="D3" s="7"/>
      <c r="E3" s="7" t="s">
        <v>13</v>
      </c>
      <c r="F3" s="7"/>
      <c r="G3" s="7" t="s">
        <v>14</v>
      </c>
      <c r="H3" s="7" t="s">
        <v>15</v>
      </c>
      <c r="I3" s="7" t="s">
        <v>16</v>
      </c>
      <c r="J3" s="7" t="s">
        <v>17</v>
      </c>
      <c r="K3" s="7" t="s">
        <v>18</v>
      </c>
      <c r="L3" s="7" t="s">
        <v>19</v>
      </c>
      <c r="M3" s="7" t="s">
        <v>20</v>
      </c>
      <c r="N3" s="7" t="s">
        <v>21</v>
      </c>
      <c r="O3" s="7" t="s">
        <v>21</v>
      </c>
      <c r="P3" s="7" t="s">
        <v>22</v>
      </c>
      <c r="Q3" s="7" t="s">
        <v>23</v>
      </c>
      <c r="R3" s="7" t="s">
        <v>24</v>
      </c>
      <c r="S3" s="7" t="s">
        <v>25</v>
      </c>
      <c r="T3" s="7" t="s">
        <v>26</v>
      </c>
      <c r="U3" s="7" t="s">
        <v>27</v>
      </c>
      <c r="V3" s="5" t="s">
        <v>28</v>
      </c>
      <c r="W3" s="6"/>
      <c r="X3" s="9"/>
      <c r="Y3" s="9"/>
      <c r="Z3" s="9"/>
      <c r="AA3" s="9" t="s">
        <v>13</v>
      </c>
      <c r="AB3" s="9"/>
      <c r="AC3" s="9"/>
      <c r="AD3" s="9"/>
      <c r="AE3" s="9" t="s">
        <v>14</v>
      </c>
      <c r="AF3" s="9" t="s">
        <v>15</v>
      </c>
      <c r="AG3" s="9"/>
      <c r="AH3" s="9" t="s">
        <v>29</v>
      </c>
      <c r="AI3" s="9" t="s">
        <v>30</v>
      </c>
      <c r="AJ3" s="9" t="s">
        <v>16</v>
      </c>
      <c r="AK3" s="9" t="s">
        <v>31</v>
      </c>
      <c r="AL3" s="9" t="s">
        <v>32</v>
      </c>
      <c r="AM3" s="9" t="s">
        <v>17</v>
      </c>
      <c r="AN3" s="9" t="s">
        <v>33</v>
      </c>
      <c r="AO3" s="9" t="s">
        <v>18</v>
      </c>
      <c r="AP3" s="9" t="s">
        <v>34</v>
      </c>
      <c r="AQ3" s="9" t="s">
        <v>19</v>
      </c>
      <c r="AR3" s="9" t="s">
        <v>20</v>
      </c>
      <c r="AS3" s="9" t="s">
        <v>21</v>
      </c>
      <c r="AT3" s="9" t="s">
        <v>35</v>
      </c>
      <c r="AU3" s="9" t="s">
        <v>22</v>
      </c>
      <c r="AV3" s="9" t="s">
        <v>23</v>
      </c>
      <c r="AW3" s="9" t="s">
        <v>24</v>
      </c>
      <c r="AX3" s="9" t="s">
        <v>25</v>
      </c>
      <c r="AY3" s="9" t="s">
        <v>36</v>
      </c>
      <c r="AZ3" s="9" t="s">
        <v>37</v>
      </c>
      <c r="BA3" s="9" t="s">
        <v>26</v>
      </c>
      <c r="BB3" s="9" t="s">
        <v>27</v>
      </c>
    </row>
    <row r="4" spans="1:56" ht="15.7" thickBot="1" x14ac:dyDescent="0.7">
      <c r="A4" s="10" t="s">
        <v>38</v>
      </c>
      <c r="B4" s="11" t="s">
        <v>39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7" t="s">
        <v>30</v>
      </c>
      <c r="P4" s="7"/>
      <c r="Q4" s="7"/>
      <c r="R4" s="7"/>
      <c r="S4" s="7"/>
      <c r="T4" s="7"/>
      <c r="U4" s="7"/>
      <c r="V4" s="5"/>
      <c r="W4" s="6" t="s">
        <v>40</v>
      </c>
      <c r="AH4" s="13">
        <v>1</v>
      </c>
      <c r="AI4" s="13">
        <v>2</v>
      </c>
      <c r="AJ4" s="14"/>
      <c r="AK4" s="13">
        <v>4</v>
      </c>
      <c r="AL4" s="9"/>
      <c r="AM4" s="14"/>
      <c r="AN4" s="9" t="s">
        <v>41</v>
      </c>
      <c r="AO4" s="9"/>
      <c r="AP4" s="9" t="s">
        <v>42</v>
      </c>
      <c r="AQ4" s="9"/>
      <c r="AS4" s="9"/>
      <c r="AT4" s="9" t="s">
        <v>43</v>
      </c>
    </row>
    <row r="5" spans="1:56" ht="14.35" thickBot="1" x14ac:dyDescent="0.5">
      <c r="A5" s="15" t="s">
        <v>44</v>
      </c>
      <c r="B5" s="16">
        <v>11461042</v>
      </c>
      <c r="C5" s="12">
        <v>12062534</v>
      </c>
      <c r="D5" s="12">
        <v>12705882</v>
      </c>
      <c r="E5" s="12">
        <v>13476239</v>
      </c>
      <c r="F5" s="12">
        <v>14138629</v>
      </c>
      <c r="G5" s="12"/>
      <c r="H5" s="12">
        <v>14138629</v>
      </c>
      <c r="I5" s="12">
        <v>14787169</v>
      </c>
      <c r="J5" s="12">
        <v>15368583</v>
      </c>
      <c r="K5" s="12">
        <v>15890966</v>
      </c>
      <c r="L5" s="12">
        <v>16418410</v>
      </c>
      <c r="M5" s="12">
        <v>17017602</v>
      </c>
      <c r="N5" s="12">
        <v>17891153</v>
      </c>
      <c r="O5" s="12">
        <f>N5</f>
        <v>17891153</v>
      </c>
      <c r="P5" s="12">
        <v>18661730</v>
      </c>
      <c r="Q5" s="12">
        <v>19425844</v>
      </c>
      <c r="R5" s="12">
        <v>20173974</v>
      </c>
      <c r="S5" s="12">
        <v>21039179</v>
      </c>
      <c r="T5" s="12">
        <v>22054802</v>
      </c>
      <c r="U5" s="12">
        <v>23087668</v>
      </c>
      <c r="V5" s="15" t="s">
        <v>45</v>
      </c>
      <c r="W5" s="16">
        <v>484905</v>
      </c>
      <c r="X5" s="17" t="e">
        <f>#REF!</f>
        <v>#REF!</v>
      </c>
      <c r="Y5" s="17">
        <v>1401458</v>
      </c>
      <c r="Z5" s="17" t="e">
        <f>#REF!</f>
        <v>#REF!</v>
      </c>
      <c r="AA5" s="17">
        <v>1536015</v>
      </c>
      <c r="AB5" s="17" t="e">
        <f>#REF!</f>
        <v>#REF!</v>
      </c>
      <c r="AC5" s="17" t="e">
        <f>#REF!</f>
        <v>#REF!</v>
      </c>
      <c r="AD5" s="17" t="e">
        <f>#REF!</f>
        <v>#REF!</v>
      </c>
      <c r="AE5" s="17">
        <v>1536013</v>
      </c>
      <c r="AF5" s="17" t="e">
        <f t="shared" ref="AF5:AF18" si="0">AD5</f>
        <v>#REF!</v>
      </c>
      <c r="AG5" s="17" t="e">
        <f>#REF!</f>
        <v>#REF!</v>
      </c>
      <c r="AH5" s="17" t="e">
        <f>#REF!</f>
        <v>#REF!</v>
      </c>
      <c r="AI5" s="17">
        <f>[1]Omnibus!$AO$7</f>
        <v>1701296</v>
      </c>
      <c r="AJ5" s="17">
        <v>1701296</v>
      </c>
      <c r="AK5" s="17" t="e">
        <f>#REF!</f>
        <v>#REF!</v>
      </c>
      <c r="AL5" s="18" t="e">
        <f>#REF!</f>
        <v>#REF!</v>
      </c>
      <c r="AM5" s="17">
        <v>1751372</v>
      </c>
      <c r="AN5" s="17" t="e">
        <f>#REF!</f>
        <v>#REF!</v>
      </c>
      <c r="AO5" s="17" t="e">
        <f>#REF!</f>
        <v>#REF!</v>
      </c>
      <c r="AP5" s="17" t="e">
        <f>#REF!</f>
        <v>#REF!</v>
      </c>
      <c r="AQ5" s="17" t="e">
        <f>#REF!</f>
        <v>#REF!</v>
      </c>
      <c r="AR5" s="17">
        <v>1895632</v>
      </c>
      <c r="AS5" s="17">
        <v>2044821</v>
      </c>
      <c r="AT5" s="17">
        <v>2044821</v>
      </c>
      <c r="AU5" s="17">
        <f>'[2]16 Omnibus Revised Categories'!BT7</f>
        <v>2054987</v>
      </c>
      <c r="AV5" s="17">
        <f>'[2]16 Omnibus Revised Categories'!BU7</f>
        <v>2079853</v>
      </c>
      <c r="AW5" s="17">
        <f>'[2]16 Omnibus Revised Categories'!BW7</f>
        <v>2876260</v>
      </c>
      <c r="AX5" s="17">
        <f>'[2]FY18 Omnibus Budget'!CA7</f>
        <v>3097672</v>
      </c>
      <c r="AY5" s="17">
        <f>'[2]FY18 Omnibus Budget'!CB7</f>
        <v>3102790.88</v>
      </c>
      <c r="AZ5" s="17">
        <f>'[2]FY18 Omnibus Budget'!CC7</f>
        <v>3102790.88</v>
      </c>
      <c r="BA5" s="17">
        <f>'[2]FY18 Omnibus Budget'!CD7</f>
        <v>3102790.88</v>
      </c>
      <c r="BB5" s="19">
        <f>'[3]FY19 Omnibus Budget'!CF7</f>
        <v>3095185.66</v>
      </c>
    </row>
    <row r="6" spans="1:56" ht="14.35" thickBot="1" x14ac:dyDescent="0.5">
      <c r="A6" s="20" t="s">
        <v>46</v>
      </c>
      <c r="B6" s="16">
        <v>117933</v>
      </c>
      <c r="C6" s="12">
        <v>301563</v>
      </c>
      <c r="D6" s="12">
        <v>95539.82</v>
      </c>
      <c r="E6" s="12">
        <v>333401.03000000003</v>
      </c>
      <c r="F6" s="12">
        <v>353466</v>
      </c>
      <c r="G6" s="12"/>
      <c r="H6" s="12">
        <v>353466</v>
      </c>
      <c r="I6" s="12">
        <v>368424.6</v>
      </c>
      <c r="J6" s="12">
        <v>371455.7</v>
      </c>
      <c r="K6" s="12">
        <v>393855.54</v>
      </c>
      <c r="L6" s="12">
        <v>407945.48</v>
      </c>
      <c r="M6" s="12">
        <v>425440</v>
      </c>
      <c r="N6" s="12">
        <v>445060.57</v>
      </c>
      <c r="O6" s="12">
        <f>N6</f>
        <v>445060.57</v>
      </c>
      <c r="P6" s="12">
        <f>466543-4743.4</f>
        <v>461799.6</v>
      </c>
      <c r="Q6" s="12">
        <f>485646-201190.87</f>
        <v>284455.13</v>
      </c>
      <c r="R6" s="12">
        <v>494562.77</v>
      </c>
      <c r="S6" s="12">
        <v>526021</v>
      </c>
      <c r="T6" s="12">
        <f>551370-928.76</f>
        <v>550441.24</v>
      </c>
      <c r="U6" s="12">
        <f>U5*0.025</f>
        <v>577191.70000000007</v>
      </c>
      <c r="V6" s="15" t="s">
        <v>47</v>
      </c>
      <c r="W6" s="16">
        <v>207028</v>
      </c>
      <c r="X6" s="17" t="e">
        <f>SUM(#REF!)</f>
        <v>#REF!</v>
      </c>
      <c r="Y6" s="17">
        <v>822118</v>
      </c>
      <c r="Z6" s="17" t="e">
        <f>SUM(#REF!)</f>
        <v>#REF!</v>
      </c>
      <c r="AA6" s="17">
        <v>914692</v>
      </c>
      <c r="AB6" s="17" t="e">
        <f>SUM(#REF!)</f>
        <v>#REF!</v>
      </c>
      <c r="AC6" s="17" t="e">
        <f>SUM(#REF!)</f>
        <v>#REF!</v>
      </c>
      <c r="AD6" s="17" t="e">
        <f>SUM(#REF!)</f>
        <v>#REF!</v>
      </c>
      <c r="AE6" s="17">
        <v>907471</v>
      </c>
      <c r="AF6" s="17" t="e">
        <f t="shared" si="0"/>
        <v>#REF!</v>
      </c>
      <c r="AG6" s="17" t="e">
        <f>SUM(#REF!)</f>
        <v>#REF!</v>
      </c>
      <c r="AH6" s="17" t="e">
        <f>SUM(#REF!)</f>
        <v>#REF!</v>
      </c>
      <c r="AI6" s="17">
        <f>SUM([1]Omnibus!$AO$8:$AO$9)</f>
        <v>960109</v>
      </c>
      <c r="AJ6" s="17">
        <v>960109</v>
      </c>
      <c r="AK6" s="17" t="e">
        <f>SUM(#REF!)</f>
        <v>#REF!</v>
      </c>
      <c r="AL6" s="18" t="e">
        <f>SUM(#REF!)</f>
        <v>#REF!</v>
      </c>
      <c r="AM6" s="17">
        <v>922032</v>
      </c>
      <c r="AN6" s="17" t="e">
        <f>SUM(#REF!)</f>
        <v>#REF!</v>
      </c>
      <c r="AO6" s="17" t="e">
        <f>SUM(#REF!)</f>
        <v>#REF!</v>
      </c>
      <c r="AP6" s="17" t="e">
        <f>SUM(#REF!)</f>
        <v>#REF!</v>
      </c>
      <c r="AQ6" s="17" t="e">
        <f>SUM(#REF!)</f>
        <v>#REF!</v>
      </c>
      <c r="AR6" s="17">
        <v>880236</v>
      </c>
      <c r="AS6" s="17">
        <v>889589</v>
      </c>
      <c r="AT6" s="17">
        <v>889589</v>
      </c>
      <c r="AU6" s="17">
        <f>SUM('[2]16 Omnibus Revised Categories'!BT8:BT11)</f>
        <v>808192</v>
      </c>
      <c r="AV6" s="17">
        <f>SUM('[2]16 Omnibus Revised Categories'!BU8:BU11)</f>
        <v>898203</v>
      </c>
      <c r="AW6" s="17">
        <f>SUM('[2]16 Omnibus Revised Categories'!BW8:BW11)</f>
        <v>1681660</v>
      </c>
      <c r="AX6" s="17">
        <f>SUM('[2]FY18 Omnibus Budget'!CA8:CA11)</f>
        <v>1760343</v>
      </c>
      <c r="AY6" s="17">
        <f>SUM('[2]FY18 Omnibus Budget'!CB8:CB11)</f>
        <v>1694067.3599999999</v>
      </c>
      <c r="AZ6" s="17">
        <f>SUM('[2]FY18 Omnibus Budget'!CC8:CC11)</f>
        <v>1694067.3599999999</v>
      </c>
      <c r="BA6" s="17">
        <f>'[3]FY18 Omnibus Budget'!CD8+'[3]FY18 Omnibus Budget'!CD9+'[3]FY18 Omnibus Budget'!CD10+'[3]FY18 Omnibus Budget'!CD11</f>
        <v>1721317.3599999999</v>
      </c>
      <c r="BB6" s="19">
        <f>'[3]FY19 Omnibus Budget'!CF8+'[3]FY19 Omnibus Budget'!CF9+'[3]FY19 Omnibus Budget'!CF10+'[3]FY19 Omnibus Budget'!CF11</f>
        <v>1662866.8399999999</v>
      </c>
    </row>
    <row r="7" spans="1:56" ht="14.35" thickBot="1" x14ac:dyDescent="0.5">
      <c r="A7" s="15" t="s">
        <v>48</v>
      </c>
      <c r="B7" s="16">
        <v>314966</v>
      </c>
      <c r="C7" s="12">
        <v>341729</v>
      </c>
      <c r="D7" s="12">
        <v>452710</v>
      </c>
      <c r="E7" s="12">
        <v>325484</v>
      </c>
      <c r="F7" s="12">
        <v>350000</v>
      </c>
      <c r="G7" s="12"/>
      <c r="H7" s="12">
        <v>295074</v>
      </c>
      <c r="I7" s="12">
        <v>211735</v>
      </c>
      <c r="J7" s="12">
        <v>138168</v>
      </c>
      <c r="K7" s="21">
        <v>130170</v>
      </c>
      <c r="L7" s="21">
        <v>188732</v>
      </c>
      <c r="M7" s="21">
        <f>425377+22734</f>
        <v>448111</v>
      </c>
      <c r="N7" s="21">
        <f>321862+1401</f>
        <v>323263</v>
      </c>
      <c r="O7" s="12">
        <f>N7</f>
        <v>323263</v>
      </c>
      <c r="P7" s="12">
        <v>297571</v>
      </c>
      <c r="Q7" s="12">
        <v>262484</v>
      </c>
      <c r="R7" s="12">
        <v>360856</v>
      </c>
      <c r="S7" s="12">
        <f>487955+1647</f>
        <v>489602</v>
      </c>
      <c r="T7" s="22">
        <v>481496</v>
      </c>
      <c r="U7" s="22">
        <v>375000</v>
      </c>
      <c r="V7" s="15" t="s">
        <v>49</v>
      </c>
      <c r="W7" s="16">
        <v>2689643</v>
      </c>
      <c r="X7" s="12" t="e">
        <f>#REF!</f>
        <v>#REF!</v>
      </c>
      <c r="Y7" s="12">
        <v>1652925</v>
      </c>
      <c r="Z7" s="17" t="e">
        <f>#REF!</f>
        <v>#REF!</v>
      </c>
      <c r="AA7" s="17">
        <v>1835330</v>
      </c>
      <c r="AB7" s="17" t="e">
        <f>#REF!</f>
        <v>#REF!</v>
      </c>
      <c r="AC7" s="17" t="e">
        <f>#REF!</f>
        <v>#REF!</v>
      </c>
      <c r="AD7" s="17" t="e">
        <f>#REF!</f>
        <v>#REF!</v>
      </c>
      <c r="AE7" s="17">
        <v>1866915</v>
      </c>
      <c r="AF7" s="17" t="e">
        <f t="shared" si="0"/>
        <v>#REF!</v>
      </c>
      <c r="AG7" s="17" t="e">
        <f>#REF!</f>
        <v>#REF!</v>
      </c>
      <c r="AH7" s="17" t="e">
        <f>#REF!</f>
        <v>#REF!</v>
      </c>
      <c r="AI7" s="17">
        <f>[1]Omnibus!$AO$30</f>
        <v>2313456</v>
      </c>
      <c r="AJ7" s="17">
        <v>2206906</v>
      </c>
      <c r="AK7" s="17" t="e">
        <f>#REF!</f>
        <v>#REF!</v>
      </c>
      <c r="AL7" s="18" t="e">
        <f>#REF!</f>
        <v>#REF!</v>
      </c>
      <c r="AM7" s="18">
        <v>2205842</v>
      </c>
      <c r="AN7" s="18" t="e">
        <f>#REF!</f>
        <v>#REF!</v>
      </c>
      <c r="AO7" s="18" t="e">
        <f>#REF!</f>
        <v>#REF!</v>
      </c>
      <c r="AP7" s="18" t="e">
        <f>#REF!</f>
        <v>#REF!</v>
      </c>
      <c r="AQ7" s="18" t="e">
        <f>#REF!</f>
        <v>#REF!</v>
      </c>
      <c r="AR7" s="18">
        <v>2499388.7599999998</v>
      </c>
      <c r="AS7" s="18">
        <v>2667283</v>
      </c>
      <c r="AT7" s="23">
        <f>AS7+288432</f>
        <v>2955715</v>
      </c>
      <c r="AU7" s="18">
        <f>'[2]16 Omnibus Revised Categories'!BT32</f>
        <v>2382480</v>
      </c>
      <c r="AV7" s="18">
        <f>'[2]16 Omnibus Revised Categories'!BU32</f>
        <v>2217069</v>
      </c>
      <c r="AW7" s="18">
        <f>'[2]16 Omnibus Revised Categories'!BW32</f>
        <v>2426584</v>
      </c>
      <c r="AX7" s="18">
        <f>'[2]FY18 Omnibus Budget'!CA32</f>
        <v>2634326.4700000002</v>
      </c>
      <c r="AY7" s="18">
        <f>'[2]FY18 Omnibus Budget'!CB32</f>
        <v>2881599.67</v>
      </c>
      <c r="AZ7" s="18">
        <f>'[2]FY18 Omnibus Budget'!CC32</f>
        <v>2881599.67</v>
      </c>
      <c r="BA7" s="17">
        <f>'[3]FY18 Omnibus Budget'!CD32</f>
        <v>2911295.9699999997</v>
      </c>
      <c r="BB7" s="24">
        <f>'[3]FY19 Omnibus Budget'!CF34</f>
        <v>3144790.55</v>
      </c>
    </row>
    <row r="8" spans="1:56" ht="14.35" thickBot="1" x14ac:dyDescent="0.5">
      <c r="A8" s="20" t="s">
        <v>50</v>
      </c>
      <c r="B8" s="16"/>
      <c r="C8" s="12">
        <v>1447724</v>
      </c>
      <c r="D8" s="12">
        <v>1473527</v>
      </c>
      <c r="E8" s="12">
        <v>1631225</v>
      </c>
      <c r="F8" s="12">
        <v>1618634</v>
      </c>
      <c r="G8" s="12"/>
      <c r="H8" s="12">
        <v>814208.88</v>
      </c>
      <c r="I8" s="12">
        <v>808948</v>
      </c>
      <c r="J8" s="12">
        <v>1036977</v>
      </c>
      <c r="K8" s="12">
        <v>1012305</v>
      </c>
      <c r="L8" s="21">
        <v>991724</v>
      </c>
      <c r="M8" s="21">
        <v>977796</v>
      </c>
      <c r="N8" s="21">
        <v>907338</v>
      </c>
      <c r="O8" s="12">
        <f>N8</f>
        <v>907338</v>
      </c>
      <c r="P8" s="12">
        <v>865018</v>
      </c>
      <c r="Q8" s="12">
        <v>1031125</v>
      </c>
      <c r="R8" s="12">
        <v>2494848</v>
      </c>
      <c r="S8" s="12">
        <f>2716158.09-1241.2</f>
        <v>2714916.8899999997</v>
      </c>
      <c r="T8" s="22">
        <f>2733557.77+27250</f>
        <v>2760807.77</v>
      </c>
      <c r="U8" s="25">
        <v>2857514.84</v>
      </c>
      <c r="V8" s="15" t="s">
        <v>51</v>
      </c>
      <c r="W8" s="12">
        <v>823003</v>
      </c>
      <c r="X8" s="12" t="e">
        <f>#REF!</f>
        <v>#REF!</v>
      </c>
      <c r="Y8" s="12">
        <v>929867</v>
      </c>
      <c r="Z8" s="17" t="e">
        <f>#REF!</f>
        <v>#REF!</v>
      </c>
      <c r="AA8" s="17">
        <v>1071541</v>
      </c>
      <c r="AB8" s="17" t="e">
        <f>#REF!</f>
        <v>#REF!</v>
      </c>
      <c r="AC8" s="17" t="e">
        <f>#REF!</f>
        <v>#REF!</v>
      </c>
      <c r="AD8" s="17" t="e">
        <f>#REF!</f>
        <v>#REF!</v>
      </c>
      <c r="AE8" s="17">
        <v>1073658</v>
      </c>
      <c r="AF8" s="17" t="e">
        <f t="shared" si="0"/>
        <v>#REF!</v>
      </c>
      <c r="AG8" s="17" t="e">
        <f>#REF!</f>
        <v>#REF!</v>
      </c>
      <c r="AH8" s="17" t="e">
        <f>#REF!</f>
        <v>#REF!</v>
      </c>
      <c r="AI8" s="17">
        <f>[1]Omnibus!$AO$58</f>
        <v>1227125</v>
      </c>
      <c r="AJ8" s="17">
        <v>1233679</v>
      </c>
      <c r="AK8" s="17" t="e">
        <f>#REF!</f>
        <v>#REF!</v>
      </c>
      <c r="AL8" s="26" t="e">
        <f>#REF!</f>
        <v>#REF!</v>
      </c>
      <c r="AM8" s="18">
        <v>1237559</v>
      </c>
      <c r="AN8" s="18" t="e">
        <f>#REF!</f>
        <v>#REF!</v>
      </c>
      <c r="AO8" s="18" t="e">
        <f>#REF!</f>
        <v>#REF!</v>
      </c>
      <c r="AP8" s="18" t="e">
        <f>#REF!</f>
        <v>#REF!</v>
      </c>
      <c r="AQ8" s="18" t="e">
        <f>#REF!</f>
        <v>#REF!</v>
      </c>
      <c r="AR8" s="18">
        <v>1222918.03</v>
      </c>
      <c r="AS8" s="18">
        <v>1140605</v>
      </c>
      <c r="AT8" s="23">
        <f>AS8+82098+7000</f>
        <v>1229703</v>
      </c>
      <c r="AU8" s="18">
        <f>'[2]16 Omnibus Revised Categories'!BT58</f>
        <v>1153634</v>
      </c>
      <c r="AV8" s="18">
        <f>'[2]16 Omnibus Revised Categories'!BU58</f>
        <v>1237183</v>
      </c>
      <c r="AW8" s="18">
        <f>'[2]16 Omnibus Revised Categories'!BW58</f>
        <v>1233661</v>
      </c>
      <c r="AX8" s="18">
        <f>'[2]FY18 Omnibus Budget'!CA58</f>
        <v>1293854.3599999999</v>
      </c>
      <c r="AY8" s="18">
        <f>'[2]FY18 Omnibus Budget'!CB58</f>
        <v>1308104.98</v>
      </c>
      <c r="AZ8" s="18">
        <f>'[2]FY18 Omnibus Budget'!CC58</f>
        <v>1339374.98</v>
      </c>
      <c r="BA8" s="18">
        <f>'[2]FY18 Omnibus Budget'!CD58</f>
        <v>1336338.98</v>
      </c>
      <c r="BB8" s="18">
        <f>'[3]FY19 Omnibus Budget'!CF60</f>
        <v>1401119.2499999998</v>
      </c>
      <c r="BD8" s="27"/>
    </row>
    <row r="9" spans="1:56" ht="14.35" thickBot="1" x14ac:dyDescent="0.5">
      <c r="A9" s="20" t="s">
        <v>52</v>
      </c>
      <c r="B9" s="16"/>
      <c r="C9" s="12"/>
      <c r="D9" s="12"/>
      <c r="E9" s="12"/>
      <c r="F9" s="12"/>
      <c r="G9" s="12"/>
      <c r="H9" s="12"/>
      <c r="I9" s="12"/>
      <c r="J9" s="12"/>
      <c r="K9" s="12"/>
      <c r="L9" s="21"/>
      <c r="M9" s="21"/>
      <c r="N9" s="21"/>
      <c r="O9" s="28">
        <v>2200000</v>
      </c>
      <c r="P9" s="22"/>
      <c r="Q9" s="22"/>
      <c r="R9" s="22"/>
      <c r="S9" s="22"/>
      <c r="T9" s="22"/>
      <c r="U9" s="22"/>
      <c r="V9" s="15" t="s">
        <v>53</v>
      </c>
      <c r="W9" s="16">
        <v>131005</v>
      </c>
      <c r="X9" s="12" t="e">
        <f>#REF!</f>
        <v>#REF!</v>
      </c>
      <c r="Y9" s="12">
        <v>131845</v>
      </c>
      <c r="Z9" s="17" t="e">
        <f>#REF!</f>
        <v>#REF!</v>
      </c>
      <c r="AA9" s="17">
        <v>56874</v>
      </c>
      <c r="AB9" s="17" t="e">
        <f>#REF!</f>
        <v>#REF!</v>
      </c>
      <c r="AC9" s="17" t="e">
        <f>#REF!</f>
        <v>#REF!</v>
      </c>
      <c r="AD9" s="17" t="e">
        <f>#REF!</f>
        <v>#REF!</v>
      </c>
      <c r="AE9" s="17">
        <v>36180</v>
      </c>
      <c r="AF9" s="17" t="e">
        <f t="shared" si="0"/>
        <v>#REF!</v>
      </c>
      <c r="AG9" s="17" t="e">
        <f>#REF!</f>
        <v>#REF!</v>
      </c>
      <c r="AH9" s="17" t="e">
        <f>#REF!</f>
        <v>#REF!</v>
      </c>
      <c r="AI9" s="17">
        <f>[1]Omnibus!$AO$61</f>
        <v>64200</v>
      </c>
      <c r="AJ9" s="17">
        <v>64200</v>
      </c>
      <c r="AK9" s="17" t="e">
        <f>#REF!</f>
        <v>#REF!</v>
      </c>
      <c r="AL9" s="18" t="e">
        <f>#REF!</f>
        <v>#REF!</v>
      </c>
      <c r="AM9" s="17">
        <v>47200</v>
      </c>
      <c r="AN9" s="17" t="e">
        <f>#REF!</f>
        <v>#REF!</v>
      </c>
      <c r="AO9" s="17" t="e">
        <f>#REF!</f>
        <v>#REF!</v>
      </c>
      <c r="AP9" s="17" t="e">
        <f>#REF!</f>
        <v>#REF!</v>
      </c>
      <c r="AQ9" s="17" t="e">
        <f>#REF!</f>
        <v>#REF!</v>
      </c>
      <c r="AR9" s="17">
        <v>42750</v>
      </c>
      <c r="AS9" s="17">
        <v>55250</v>
      </c>
      <c r="AT9" s="17">
        <f>AS9</f>
        <v>55250</v>
      </c>
      <c r="AU9" s="17">
        <f>'[2]16 Omnibus Revised Categories'!BT61</f>
        <v>54015</v>
      </c>
      <c r="AV9" s="17">
        <f>'[2]16 Omnibus Revised Categories'!BU61</f>
        <v>52950</v>
      </c>
      <c r="AW9" s="17">
        <f>'[2]16 Omnibus Revised Categories'!BW61</f>
        <v>52950</v>
      </c>
      <c r="AX9" s="17">
        <f>'[2]FY18 Omnibus Budget'!CA63</f>
        <v>55303</v>
      </c>
      <c r="AY9" s="17">
        <f>'[2]FY18 Omnibus Budget'!CB63</f>
        <v>55303</v>
      </c>
      <c r="AZ9" s="17">
        <f>'[2]FY18 Omnibus Budget'!CC63</f>
        <v>55303</v>
      </c>
      <c r="BA9" s="17">
        <f>'[2]FY18 Omnibus Budget'!CD63</f>
        <v>55303</v>
      </c>
      <c r="BB9" s="17">
        <f>'[3]FY19 Omnibus Budget'!CF65</f>
        <v>55303</v>
      </c>
    </row>
    <row r="10" spans="1:56" ht="14.35" thickBot="1" x14ac:dyDescent="0.5">
      <c r="A10" s="20"/>
      <c r="B10" s="16"/>
      <c r="C10" s="12"/>
      <c r="D10" s="12"/>
      <c r="E10" s="12"/>
      <c r="F10" s="12"/>
      <c r="G10" s="12"/>
      <c r="H10" s="12"/>
      <c r="I10" s="12"/>
      <c r="J10" s="12"/>
      <c r="K10" s="12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15" t="s">
        <v>54</v>
      </c>
      <c r="W10" s="16"/>
      <c r="X10" s="12"/>
      <c r="Y10" s="12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8"/>
      <c r="AM10" s="17"/>
      <c r="AN10" s="17"/>
      <c r="AO10" s="17"/>
      <c r="AP10" s="17"/>
      <c r="AQ10" s="17" t="e">
        <f>#REF!</f>
        <v>#REF!</v>
      </c>
      <c r="AR10" s="17">
        <v>2416791</v>
      </c>
      <c r="AS10" s="17">
        <v>2412447</v>
      </c>
      <c r="AT10" s="23">
        <f>AS10+48307</f>
        <v>2460754</v>
      </c>
      <c r="AU10" s="17">
        <f>'[2]16 Omnibus Revised Categories'!BT94</f>
        <v>2386790</v>
      </c>
      <c r="AV10" s="17">
        <f>'[2]16 Omnibus Revised Categories'!BU94</f>
        <v>2441283</v>
      </c>
      <c r="AW10" s="17">
        <f>'[2]16 Omnibus Revised Categories'!BW94</f>
        <v>2638990</v>
      </c>
      <c r="AX10" s="17">
        <f>'[2]FY18 Omnibus Budget'!CA94</f>
        <v>2738631.63</v>
      </c>
      <c r="AY10" s="17">
        <f>'[2]FY18 Omnibus Budget'!CB94</f>
        <v>2816429.35</v>
      </c>
      <c r="AZ10" s="17">
        <f>'[2]FY18 Omnibus Budget'!CC94</f>
        <v>3657766.3499999996</v>
      </c>
      <c r="BA10" s="17">
        <f>'[2]FY18 Omnibus Budget'!CD94</f>
        <v>2941492.35</v>
      </c>
      <c r="BB10" s="17">
        <f>'[3]FY19 Omnibus Budget'!CF96</f>
        <v>3197960.2199999997</v>
      </c>
      <c r="BD10" s="27"/>
    </row>
    <row r="11" spans="1:56" ht="14.35" thickBot="1" x14ac:dyDescent="0.5">
      <c r="A11" s="29" t="s">
        <v>55</v>
      </c>
      <c r="B11" s="30">
        <f t="shared" ref="B11:J11" si="1">SUM(B5:B8)</f>
        <v>11893941</v>
      </c>
      <c r="C11" s="30">
        <f t="shared" si="1"/>
        <v>14153550</v>
      </c>
      <c r="D11" s="30">
        <f t="shared" si="1"/>
        <v>14727658.82</v>
      </c>
      <c r="E11" s="30">
        <f t="shared" si="1"/>
        <v>15766349.029999999</v>
      </c>
      <c r="F11" s="30">
        <f t="shared" si="1"/>
        <v>16460729</v>
      </c>
      <c r="G11" s="30">
        <v>15496515.050000001</v>
      </c>
      <c r="H11" s="30">
        <f t="shared" si="1"/>
        <v>15601377.880000001</v>
      </c>
      <c r="I11" s="30">
        <f t="shared" si="1"/>
        <v>16176276.6</v>
      </c>
      <c r="J11" s="30">
        <f t="shared" si="1"/>
        <v>16915183.699999999</v>
      </c>
      <c r="K11" s="30">
        <f>SUM(K5:K9)</f>
        <v>17427296.539999999</v>
      </c>
      <c r="L11" s="30">
        <f>SUM(L5:L8)</f>
        <v>18006811.48</v>
      </c>
      <c r="M11" s="30">
        <f>SUM(M5:M8)</f>
        <v>18868949</v>
      </c>
      <c r="N11" s="30">
        <f>SUM(N5:N8)</f>
        <v>19566814.57</v>
      </c>
      <c r="O11" s="30">
        <f>SUM(O5:O9)</f>
        <v>21766814.57</v>
      </c>
      <c r="P11" s="30">
        <f t="shared" ref="P11:U11" si="2">SUM(P5:P8)</f>
        <v>20286118.600000001</v>
      </c>
      <c r="Q11" s="30">
        <f t="shared" si="2"/>
        <v>21003908.129999999</v>
      </c>
      <c r="R11" s="30">
        <f t="shared" si="2"/>
        <v>23524240.77</v>
      </c>
      <c r="S11" s="30">
        <f t="shared" si="2"/>
        <v>24769718.890000001</v>
      </c>
      <c r="T11" s="30">
        <f t="shared" si="2"/>
        <v>25847547.009999998</v>
      </c>
      <c r="U11" s="30">
        <f t="shared" si="2"/>
        <v>26897374.539999999</v>
      </c>
      <c r="V11" s="15" t="s">
        <v>56</v>
      </c>
      <c r="W11" s="16">
        <v>1548528</v>
      </c>
      <c r="X11" s="12" t="e">
        <f>#REF!</f>
        <v>#REF!</v>
      </c>
      <c r="Y11" s="12">
        <v>1661806</v>
      </c>
      <c r="Z11" s="17" t="e">
        <f>#REF!</f>
        <v>#REF!</v>
      </c>
      <c r="AA11" s="17">
        <v>1858417</v>
      </c>
      <c r="AB11" s="17" t="e">
        <f>#REF!</f>
        <v>#REF!</v>
      </c>
      <c r="AC11" s="17" t="e">
        <f>#REF!</f>
        <v>#REF!</v>
      </c>
      <c r="AD11" s="17" t="e">
        <f>#REF!</f>
        <v>#REF!</v>
      </c>
      <c r="AE11" s="17">
        <v>1875885</v>
      </c>
      <c r="AF11" s="17" t="e">
        <f t="shared" si="0"/>
        <v>#REF!</v>
      </c>
      <c r="AG11" s="17" t="e">
        <f>#REF!</f>
        <v>#REF!</v>
      </c>
      <c r="AH11" s="17" t="e">
        <f>#REF!</f>
        <v>#REF!</v>
      </c>
      <c r="AI11" s="17">
        <f>[1]Omnibus!$AO$92</f>
        <v>2353651</v>
      </c>
      <c r="AJ11" s="17">
        <v>2150667</v>
      </c>
      <c r="AK11" s="17" t="e">
        <f>#REF!</f>
        <v>#REF!</v>
      </c>
      <c r="AL11" s="18" t="e">
        <f>#REF!</f>
        <v>#REF!</v>
      </c>
      <c r="AM11" s="17">
        <v>2293638</v>
      </c>
      <c r="AN11" s="17" t="e">
        <f>#REF!</f>
        <v>#REF!</v>
      </c>
      <c r="AO11" s="17" t="e">
        <f>#REF!</f>
        <v>#REF!</v>
      </c>
      <c r="AP11" s="17" t="e">
        <f>#REF!</f>
        <v>#REF!</v>
      </c>
      <c r="AQ11" s="17" t="e">
        <f>#REF!</f>
        <v>#REF!</v>
      </c>
      <c r="AR11" s="17">
        <v>67130</v>
      </c>
      <c r="AS11" s="17">
        <v>55788</v>
      </c>
      <c r="AT11" s="23">
        <f>AS11+1500+7000</f>
        <v>64288</v>
      </c>
      <c r="AU11" s="17">
        <f>'[2]16 Omnibus Revised Categories'!BT103</f>
        <v>64090</v>
      </c>
      <c r="AV11" s="17">
        <f>'[2]16 Omnibus Revised Categories'!BU103</f>
        <v>65029</v>
      </c>
      <c r="AW11" s="17">
        <f>'[2]16 Omnibus Revised Categories'!BW103</f>
        <v>66663</v>
      </c>
      <c r="AX11" s="17">
        <f>'[2]FY18 Omnibus Budget'!CA103</f>
        <v>69154</v>
      </c>
      <c r="AY11" s="17">
        <f>'[2]FY18 Omnibus Budget'!CB103</f>
        <v>70866.950000000012</v>
      </c>
      <c r="AZ11" s="17">
        <f>'[2]FY18 Omnibus Budget'!CC103</f>
        <v>70866.950000000012</v>
      </c>
      <c r="BA11" s="17">
        <f>'[2]FY18 Omnibus Budget'!CD103</f>
        <v>70866.950000000012</v>
      </c>
      <c r="BB11" s="17">
        <f>'[3]FY19 Omnibus Budget'!CF105</f>
        <v>73838.58</v>
      </c>
    </row>
    <row r="12" spans="1:56" ht="14.35" thickBot="1" x14ac:dyDescent="0.5">
      <c r="A12" s="2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15" t="s">
        <v>57</v>
      </c>
      <c r="W12" s="16">
        <v>59805</v>
      </c>
      <c r="X12" s="12" t="e">
        <f>#REF!</f>
        <v>#REF!</v>
      </c>
      <c r="Y12" s="12">
        <v>58706</v>
      </c>
      <c r="Z12" s="17" t="e">
        <f>#REF!</f>
        <v>#REF!</v>
      </c>
      <c r="AA12" s="17">
        <v>59504</v>
      </c>
      <c r="AB12" s="17" t="e">
        <f>#REF!</f>
        <v>#REF!</v>
      </c>
      <c r="AC12" s="17" t="e">
        <f>#REF!</f>
        <v>#REF!</v>
      </c>
      <c r="AD12" s="17" t="e">
        <f>#REF!</f>
        <v>#REF!</v>
      </c>
      <c r="AE12" s="17">
        <v>58911</v>
      </c>
      <c r="AF12" s="17" t="e">
        <f t="shared" si="0"/>
        <v>#REF!</v>
      </c>
      <c r="AG12" s="17" t="e">
        <f>#REF!</f>
        <v>#REF!</v>
      </c>
      <c r="AH12" s="17" t="e">
        <f>#REF!</f>
        <v>#REF!</v>
      </c>
      <c r="AI12" s="17">
        <f>[1]Omnibus!$AO$101</f>
        <v>69580</v>
      </c>
      <c r="AJ12" s="17">
        <v>63580</v>
      </c>
      <c r="AK12" s="17" t="e">
        <f>#REF!</f>
        <v>#REF!</v>
      </c>
      <c r="AL12" s="18" t="e">
        <f>#REF!</f>
        <v>#REF!</v>
      </c>
      <c r="AM12" s="17">
        <v>67366</v>
      </c>
      <c r="AN12" s="17" t="e">
        <f>#REF!</f>
        <v>#REF!</v>
      </c>
      <c r="AO12" s="17" t="e">
        <f>#REF!</f>
        <v>#REF!</v>
      </c>
      <c r="AP12" s="17" t="e">
        <f>#REF!</f>
        <v>#REF!</v>
      </c>
      <c r="AQ12" s="17" t="e">
        <f>#REF!</f>
        <v>#REF!</v>
      </c>
      <c r="AR12" s="17">
        <v>128370</v>
      </c>
      <c r="AS12" s="17">
        <v>116976</v>
      </c>
      <c r="AT12" s="23">
        <f>AS12+14325</f>
        <v>131301</v>
      </c>
      <c r="AU12" s="17">
        <f>'[2]16 Omnibus Revised Categories'!BT147</f>
        <v>122507</v>
      </c>
      <c r="AV12" s="17">
        <f>'[2]16 Omnibus Revised Categories'!BU147</f>
        <v>129712</v>
      </c>
      <c r="AW12" s="17">
        <f>'[2]16 Omnibus Revised Categories'!BW147</f>
        <v>217710</v>
      </c>
      <c r="AX12" s="17">
        <f>'[2]FY18 Omnibus Budget'!CA147</f>
        <v>219594.12</v>
      </c>
      <c r="AY12" s="17">
        <f>'[2]FY18 Omnibus Budget'!CB147</f>
        <v>231156.74</v>
      </c>
      <c r="AZ12" s="17">
        <f>'[2]FY18 Omnibus Budget'!CC147</f>
        <v>239799.78</v>
      </c>
      <c r="BA12" s="17">
        <f>'[2]FY18 Omnibus Budget'!CD147</f>
        <v>239799.78</v>
      </c>
      <c r="BB12" s="17">
        <f>'[3]FY19 Omnibus Budget'!CF149</f>
        <v>245493.56</v>
      </c>
    </row>
    <row r="13" spans="1:56" ht="14.35" thickBot="1" x14ac:dyDescent="0.5">
      <c r="A13" s="2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15" t="s">
        <v>58</v>
      </c>
      <c r="W13" s="16"/>
      <c r="X13" s="12"/>
      <c r="Y13" s="12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8"/>
      <c r="AM13" s="17"/>
      <c r="AN13" s="17"/>
      <c r="AO13" s="17"/>
      <c r="AP13" s="17"/>
      <c r="AQ13" s="17"/>
      <c r="AR13" s="17"/>
      <c r="AS13" s="17">
        <v>332283</v>
      </c>
      <c r="AT13" s="23"/>
      <c r="AU13" s="17">
        <f>'[2]16 Omnibus Revised Categories'!BT128</f>
        <v>585163</v>
      </c>
      <c r="AV13" s="17">
        <f>'[2]16 Omnibus Revised Categories'!BU128</f>
        <v>590754</v>
      </c>
      <c r="AW13" s="17">
        <f>'[2]16 Omnibus Revised Categories'!BW128</f>
        <v>625370</v>
      </c>
      <c r="AX13" s="17">
        <f>'[2]FY18 Omnibus Budget'!CA128</f>
        <v>610978.08000000007</v>
      </c>
      <c r="AY13" s="17">
        <f>'[2]FY18 Omnibus Budget'!CB128</f>
        <v>615494.19000000006</v>
      </c>
      <c r="AZ13" s="17">
        <f>'[2]FY18 Omnibus Budget'!CC128</f>
        <v>615494.19000000006</v>
      </c>
      <c r="BA13" s="17">
        <f>'[3]FY18 Omnibus Budget'!CD128</f>
        <v>753216.19000000006</v>
      </c>
      <c r="BB13" s="24">
        <f>'[3]FY19 Omnibus Budget'!CF130</f>
        <v>670851.69000000006</v>
      </c>
    </row>
    <row r="14" spans="1:56" ht="14.35" thickBot="1" x14ac:dyDescent="0.5">
      <c r="A14" s="2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15" t="s">
        <v>59</v>
      </c>
      <c r="W14" s="16"/>
      <c r="X14" s="12"/>
      <c r="Y14" s="12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8"/>
      <c r="AM14" s="17"/>
      <c r="AN14" s="17"/>
      <c r="AO14" s="17"/>
      <c r="AP14" s="17"/>
      <c r="AQ14" s="17"/>
      <c r="AR14" s="17"/>
      <c r="AS14" s="17">
        <v>148092</v>
      </c>
      <c r="AT14" s="23"/>
      <c r="AU14" s="17">
        <f>'[2]16 Omnibus Revised Categories'!BT133</f>
        <v>183092</v>
      </c>
      <c r="AV14" s="17">
        <f>'[2]16 Omnibus Revised Categories'!BU133</f>
        <v>193754</v>
      </c>
      <c r="AW14" s="17">
        <f>'[2]16 Omnibus Revised Categories'!BW133</f>
        <v>147000</v>
      </c>
      <c r="AX14" s="17">
        <f>'[2]FY18 Omnibus Budget'!CA133</f>
        <v>174150</v>
      </c>
      <c r="AY14" s="17">
        <f>'[2]FY18 Omnibus Budget'!CB133</f>
        <v>153230</v>
      </c>
      <c r="AZ14" s="17">
        <f>'[2]FY18 Omnibus Budget'!CC133</f>
        <v>153230</v>
      </c>
      <c r="BA14" s="17">
        <f>'[2]FY18 Omnibus Budget'!CD133</f>
        <v>153230</v>
      </c>
      <c r="BB14" s="17">
        <f>'[3]FY19 Omnibus Budget'!CF135</f>
        <v>156359.88</v>
      </c>
    </row>
    <row r="15" spans="1:56" ht="14.35" thickBot="1" x14ac:dyDescent="0.5">
      <c r="A15" s="10" t="s">
        <v>60</v>
      </c>
      <c r="B15" s="16"/>
      <c r="C15" s="12"/>
      <c r="D15" s="12"/>
      <c r="E15" s="12"/>
      <c r="F15" s="12"/>
      <c r="G15" s="12"/>
      <c r="H15" s="12"/>
      <c r="I15" s="12"/>
      <c r="J15" s="12"/>
      <c r="K15" s="12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15" t="s">
        <v>61</v>
      </c>
      <c r="W15" s="16">
        <v>69624</v>
      </c>
      <c r="X15" s="12" t="e">
        <f>#REF!</f>
        <v>#REF!</v>
      </c>
      <c r="Y15" s="12">
        <v>67617</v>
      </c>
      <c r="Z15" s="17" t="e">
        <f>#REF!</f>
        <v>#REF!</v>
      </c>
      <c r="AA15" s="17">
        <v>84302</v>
      </c>
      <c r="AB15" s="17" t="e">
        <f>#REF!</f>
        <v>#REF!</v>
      </c>
      <c r="AC15" s="17" t="e">
        <f>#REF!</f>
        <v>#REF!</v>
      </c>
      <c r="AD15" s="17" t="e">
        <f>#REF!</f>
        <v>#REF!</v>
      </c>
      <c r="AE15" s="17">
        <v>80641</v>
      </c>
      <c r="AF15" s="17" t="e">
        <f t="shared" si="0"/>
        <v>#REF!</v>
      </c>
      <c r="AG15" s="17" t="e">
        <f>#REF!</f>
        <v>#REF!</v>
      </c>
      <c r="AH15" s="17" t="e">
        <f>#REF!</f>
        <v>#REF!</v>
      </c>
      <c r="AI15" s="17">
        <f>[1]Omnibus!$AO$135</f>
        <v>90292</v>
      </c>
      <c r="AJ15" s="17">
        <v>93081</v>
      </c>
      <c r="AK15" s="17" t="e">
        <f>#REF!</f>
        <v>#REF!</v>
      </c>
      <c r="AL15" s="18" t="e">
        <f>#REF!</f>
        <v>#REF!</v>
      </c>
      <c r="AM15" s="17">
        <v>127385</v>
      </c>
      <c r="AN15" s="17" t="e">
        <f>#REF!</f>
        <v>#REF!</v>
      </c>
      <c r="AO15" s="17" t="e">
        <f>#REF!</f>
        <v>#REF!</v>
      </c>
      <c r="AP15" s="17" t="e">
        <f>#REF!</f>
        <v>#REF!</v>
      </c>
      <c r="AQ15" s="17" t="e">
        <f>#REF!</f>
        <v>#REF!</v>
      </c>
      <c r="AR15" s="17">
        <v>1557200</v>
      </c>
      <c r="AS15" s="17">
        <v>1101783</v>
      </c>
      <c r="AT15" s="23">
        <f>AS15+584698</f>
        <v>1686481</v>
      </c>
      <c r="AU15" s="17">
        <f>'[2]16 Omnibus Revised Categories'!BT121</f>
        <v>1195067</v>
      </c>
      <c r="AV15" s="17">
        <f>'[2]16 Omnibus Revised Categories'!BU121</f>
        <v>1354912</v>
      </c>
      <c r="AW15" s="17">
        <f>'[2]16 Omnibus Revised Categories'!BW121</f>
        <v>1467738</v>
      </c>
      <c r="AX15" s="17">
        <f>'[2]FY18 Omnibus Budget'!CA121</f>
        <v>1688444.26</v>
      </c>
      <c r="AY15" s="17">
        <f>'[2]FY18 Omnibus Budget'!CB121</f>
        <v>1539171.3800000001</v>
      </c>
      <c r="AZ15" s="17">
        <f>'[2]FY18 Omnibus Budget'!CC121</f>
        <v>1589171.3800000001</v>
      </c>
      <c r="BA15" s="17">
        <f>'[2]FY18 Omnibus Budget'!CD121</f>
        <v>1589171.3800000001</v>
      </c>
      <c r="BB15" s="17">
        <f>'[3]FY19 Omnibus Budget'!CF123</f>
        <v>1668378.3699999999</v>
      </c>
    </row>
    <row r="16" spans="1:56" ht="14.35" thickBot="1" x14ac:dyDescent="0.5">
      <c r="A16" s="15" t="s">
        <v>62</v>
      </c>
      <c r="B16" s="16">
        <v>4823821</v>
      </c>
      <c r="C16" s="32">
        <v>5019835</v>
      </c>
      <c r="D16" s="32">
        <v>5185375</v>
      </c>
      <c r="E16" s="12">
        <v>5320341</v>
      </c>
      <c r="F16" s="12">
        <v>5559756</v>
      </c>
      <c r="G16" s="12">
        <v>5371987.2300000004</v>
      </c>
      <c r="H16" s="12">
        <v>5856249</v>
      </c>
      <c r="I16" s="12">
        <v>6236109</v>
      </c>
      <c r="J16" s="12">
        <v>6574321</v>
      </c>
      <c r="K16" s="21">
        <v>6004013</v>
      </c>
      <c r="L16" s="21">
        <v>5976405</v>
      </c>
      <c r="M16" s="21">
        <v>5936390</v>
      </c>
      <c r="N16" s="21">
        <v>6718759</v>
      </c>
      <c r="O16" s="21">
        <f>N16</f>
        <v>6718759</v>
      </c>
      <c r="P16" s="21">
        <v>6855401</v>
      </c>
      <c r="Q16" s="21">
        <v>7194650</v>
      </c>
      <c r="R16" s="22">
        <v>7518492</v>
      </c>
      <c r="S16" s="22">
        <v>7998947</v>
      </c>
      <c r="T16" s="22">
        <v>8972793</v>
      </c>
      <c r="U16" s="22">
        <v>9034019</v>
      </c>
      <c r="V16" s="15" t="s">
        <v>63</v>
      </c>
      <c r="W16" s="16">
        <v>1253055</v>
      </c>
      <c r="X16" s="12" t="e">
        <f>#REF!</f>
        <v>#REF!</v>
      </c>
      <c r="Y16" s="12">
        <v>1118255</v>
      </c>
      <c r="Z16" s="17" t="e">
        <f>#REF!</f>
        <v>#REF!</v>
      </c>
      <c r="AA16" s="17">
        <v>1125293</v>
      </c>
      <c r="AB16" s="17" t="e">
        <f>#REF!</f>
        <v>#REF!</v>
      </c>
      <c r="AC16" s="17" t="e">
        <f>#REF!</f>
        <v>#REF!</v>
      </c>
      <c r="AD16" s="17" t="e">
        <f>#REF!</f>
        <v>#REF!</v>
      </c>
      <c r="AE16" s="17">
        <v>1195000</v>
      </c>
      <c r="AF16" s="17" t="e">
        <f t="shared" si="0"/>
        <v>#REF!</v>
      </c>
      <c r="AG16" s="17" t="e">
        <f>#REF!</f>
        <v>#REF!</v>
      </c>
      <c r="AH16" s="17" t="e">
        <f>#REF!</f>
        <v>#REF!</v>
      </c>
      <c r="AI16" s="17">
        <f>[1]Omnibus!$AO$121</f>
        <v>1261337</v>
      </c>
      <c r="AJ16" s="17">
        <v>1123101</v>
      </c>
      <c r="AK16" s="17" t="e">
        <f>#REF!</f>
        <v>#REF!</v>
      </c>
      <c r="AL16" s="18" t="e">
        <f>#REF!</f>
        <v>#REF!</v>
      </c>
      <c r="AM16" s="17">
        <v>1203937</v>
      </c>
      <c r="AN16" s="17" t="e">
        <f>#REF!</f>
        <v>#REF!</v>
      </c>
      <c r="AO16" s="17" t="e">
        <f>#REF!</f>
        <v>#REF!</v>
      </c>
      <c r="AP16" s="17" t="e">
        <f>#REF!</f>
        <v>#REF!</v>
      </c>
      <c r="AQ16" s="17" t="e">
        <f>#REF!</f>
        <v>#REF!</v>
      </c>
      <c r="AR16" s="17">
        <v>15576517</v>
      </c>
      <c r="AS16" s="17">
        <v>16176612</v>
      </c>
      <c r="AT16" s="23">
        <f>AS16+1131040</f>
        <v>17307652</v>
      </c>
      <c r="AU16" s="17">
        <f>'[2]16 Omnibus Revised Categories'!BT157</f>
        <v>16831683</v>
      </c>
      <c r="AV16" s="17">
        <f>'[2]16 Omnibus Revised Categories'!BU157</f>
        <v>17465477</v>
      </c>
      <c r="AW16" s="17">
        <f>'[2]16 Omnibus Revised Categories'!BW157</f>
        <v>18314570</v>
      </c>
      <c r="AX16" s="17">
        <f>'[2]FY18 Omnibus Budget'!CA157</f>
        <v>19353967</v>
      </c>
      <c r="AY16" s="17">
        <f>'[2]FY18 Omnibus Budget'!CB157</f>
        <v>20680161.350000001</v>
      </c>
      <c r="AZ16" s="17">
        <f>'[2]FY18 Omnibus Budget'!CC157</f>
        <v>20680161.350000001</v>
      </c>
      <c r="BA16" s="17">
        <f>'[2]FY18 Omnibus Budget'!CD157</f>
        <v>20598833</v>
      </c>
      <c r="BB16" s="17">
        <f>'[3]FY19 Omnibus Budget'!CF159</f>
        <v>21031807.469999999</v>
      </c>
    </row>
    <row r="17" spans="1:56" ht="14.35" thickBot="1" x14ac:dyDescent="0.5">
      <c r="A17" s="15" t="s">
        <v>64</v>
      </c>
      <c r="B17" s="16">
        <v>29990</v>
      </c>
      <c r="C17" s="12">
        <v>44397</v>
      </c>
      <c r="D17" s="12">
        <v>47791</v>
      </c>
      <c r="E17" s="12">
        <v>50189</v>
      </c>
      <c r="F17" s="12">
        <v>52448</v>
      </c>
      <c r="G17" s="12">
        <v>49387.68</v>
      </c>
      <c r="H17" s="12">
        <v>57045</v>
      </c>
      <c r="I17" s="12">
        <v>60063</v>
      </c>
      <c r="J17" s="33">
        <v>64065</v>
      </c>
      <c r="K17" s="34">
        <v>11495</v>
      </c>
      <c r="L17" s="22">
        <v>5914</v>
      </c>
      <c r="M17" s="22">
        <v>0</v>
      </c>
      <c r="N17" s="22"/>
      <c r="O17" s="22"/>
      <c r="P17" s="22"/>
      <c r="Q17" s="22"/>
      <c r="R17" s="22"/>
      <c r="S17" s="22"/>
      <c r="T17" s="22"/>
      <c r="U17" s="22"/>
      <c r="V17" s="15" t="s">
        <v>65</v>
      </c>
      <c r="W17" s="16">
        <v>10863733</v>
      </c>
      <c r="X17" s="12" t="e">
        <f>#REF!</f>
        <v>#REF!</v>
      </c>
      <c r="Y17" s="12">
        <v>12115800</v>
      </c>
      <c r="Z17" s="17" t="e">
        <f>#REF!</f>
        <v>#REF!</v>
      </c>
      <c r="AA17" s="17">
        <v>13467748</v>
      </c>
      <c r="AB17" s="17" t="e">
        <f>#REF!</f>
        <v>#REF!</v>
      </c>
      <c r="AC17" s="17" t="e">
        <f>#REF!</f>
        <v>#REF!</v>
      </c>
      <c r="AD17" s="17" t="e">
        <f>#REF!</f>
        <v>#REF!</v>
      </c>
      <c r="AE17" s="17">
        <v>13448167</v>
      </c>
      <c r="AF17" s="17" t="e">
        <f t="shared" si="0"/>
        <v>#REF!</v>
      </c>
      <c r="AG17" s="17" t="e">
        <f>#REF!</f>
        <v>#REF!</v>
      </c>
      <c r="AH17" s="17" t="e">
        <f>#REF!</f>
        <v>#REF!</v>
      </c>
      <c r="AI17" s="17">
        <f>[1]Omnibus!$AO$145</f>
        <v>15811912</v>
      </c>
      <c r="AJ17" s="17">
        <v>14843711</v>
      </c>
      <c r="AK17" s="17" t="e">
        <f>#REF!</f>
        <v>#REF!</v>
      </c>
      <c r="AL17" s="18" t="e">
        <f>#REF!</f>
        <v>#REF!</v>
      </c>
      <c r="AM17" s="17">
        <v>15318628</v>
      </c>
      <c r="AN17" s="17" t="e">
        <f>#REF!</f>
        <v>#REF!</v>
      </c>
      <c r="AO17" s="17" t="e">
        <f>#REF!</f>
        <v>#REF!</v>
      </c>
      <c r="AP17" s="17" t="e">
        <f>#REF!</f>
        <v>#REF!</v>
      </c>
      <c r="AQ17" s="17" t="e">
        <f>#REF!</f>
        <v>#REF!</v>
      </c>
      <c r="AR17" s="17">
        <v>346956</v>
      </c>
      <c r="AS17" s="17">
        <v>338540</v>
      </c>
      <c r="AT17" s="23">
        <f>AS17+35600</f>
        <v>374140</v>
      </c>
      <c r="AU17" s="17">
        <f>'[2]16 Omnibus Revised Categories'!BT162</f>
        <v>355563</v>
      </c>
      <c r="AV17" s="17">
        <f>'[2]16 Omnibus Revised Categories'!BU162</f>
        <v>353205</v>
      </c>
      <c r="AW17" s="17">
        <f>'[2]16 Omnibus Revised Categories'!BW162</f>
        <v>363849</v>
      </c>
      <c r="AX17" s="17">
        <f>'[2]FY18 Omnibus Budget'!CA162</f>
        <v>371773.12</v>
      </c>
      <c r="AY17" s="17">
        <f>'[2]FY18 Omnibus Budget'!CB162</f>
        <v>378322.02</v>
      </c>
      <c r="AZ17" s="17">
        <f>'[2]FY18 Omnibus Budget'!CC162</f>
        <v>381709.86000000004</v>
      </c>
      <c r="BA17" s="17">
        <f>'[2]FY18 Omnibus Budget'!CD162</f>
        <v>381709.86000000004</v>
      </c>
      <c r="BB17" s="17">
        <f>'[3]FY19 Omnibus Budget'!CF164</f>
        <v>400453.76</v>
      </c>
    </row>
    <row r="18" spans="1:56" ht="14" x14ac:dyDescent="0.45">
      <c r="A18" s="15" t="s">
        <v>66</v>
      </c>
      <c r="B18" s="16"/>
      <c r="C18" s="12"/>
      <c r="D18" s="12"/>
      <c r="E18" s="12"/>
      <c r="F18" s="12"/>
      <c r="G18" s="12"/>
      <c r="H18" s="12"/>
      <c r="I18" s="12"/>
      <c r="J18" s="33"/>
      <c r="K18" s="34"/>
      <c r="L18" s="22"/>
      <c r="M18" s="22">
        <v>64672</v>
      </c>
      <c r="N18" s="22"/>
      <c r="O18" s="22"/>
      <c r="P18" s="22"/>
      <c r="Q18" s="22"/>
      <c r="R18" s="22"/>
      <c r="S18" s="22"/>
      <c r="T18" s="22"/>
      <c r="U18" s="22"/>
      <c r="V18" s="15"/>
      <c r="W18" s="16">
        <v>192904</v>
      </c>
      <c r="X18" s="12" t="e">
        <f>#REF!</f>
        <v>#REF!</v>
      </c>
      <c r="Y18" s="12">
        <v>193232</v>
      </c>
      <c r="Z18" s="17" t="e">
        <f>#REF!</f>
        <v>#REF!</v>
      </c>
      <c r="AA18" s="17">
        <v>249159</v>
      </c>
      <c r="AB18" s="17" t="e">
        <f>#REF!</f>
        <v>#REF!</v>
      </c>
      <c r="AC18" s="17" t="e">
        <f>#REF!</f>
        <v>#REF!</v>
      </c>
      <c r="AD18" s="17" t="e">
        <f>#REF!</f>
        <v>#REF!</v>
      </c>
      <c r="AE18" s="17">
        <v>240609</v>
      </c>
      <c r="AF18" s="17" t="e">
        <f t="shared" si="0"/>
        <v>#REF!</v>
      </c>
      <c r="AG18" s="17" t="e">
        <f>#REF!</f>
        <v>#REF!</v>
      </c>
      <c r="AH18" s="17" t="e">
        <f>#REF!</f>
        <v>#REF!</v>
      </c>
      <c r="AI18" s="17">
        <f>[1]Omnibus!$AO$150</f>
        <v>316207</v>
      </c>
      <c r="AJ18" s="17">
        <v>299767</v>
      </c>
      <c r="AK18" s="17" t="e">
        <f>#REF!</f>
        <v>#REF!</v>
      </c>
      <c r="AL18" s="18" t="e">
        <f>#REF!</f>
        <v>#REF!</v>
      </c>
      <c r="AM18" s="17">
        <v>329867</v>
      </c>
      <c r="AN18" s="17" t="e">
        <f>#REF!</f>
        <v>#REF!</v>
      </c>
      <c r="AO18" s="17" t="e">
        <f>#REF!</f>
        <v>#REF!</v>
      </c>
      <c r="AP18" s="17" t="e">
        <f>#REF!</f>
        <v>#REF!</v>
      </c>
      <c r="AQ18" s="17" t="e">
        <f>#REF!</f>
        <v>#REF!</v>
      </c>
      <c r="AR18" s="17"/>
      <c r="AS18" s="17"/>
      <c r="AT18" s="17">
        <f>AS18</f>
        <v>0</v>
      </c>
      <c r="AU18" s="17"/>
      <c r="AV18" s="17"/>
      <c r="AW18" s="17"/>
      <c r="AX18" s="17"/>
      <c r="AY18" s="17"/>
      <c r="AZ18" s="17"/>
      <c r="BA18" s="17"/>
      <c r="BB18" s="17"/>
    </row>
    <row r="19" spans="1:56" ht="14" x14ac:dyDescent="0.45">
      <c r="A19" s="29" t="s">
        <v>67</v>
      </c>
      <c r="B19" s="35">
        <f t="shared" ref="B19:K19" si="3">SUM(B16:B17)</f>
        <v>4853811</v>
      </c>
      <c r="C19" s="35">
        <f t="shared" si="3"/>
        <v>5064232</v>
      </c>
      <c r="D19" s="35">
        <f t="shared" si="3"/>
        <v>5233166</v>
      </c>
      <c r="E19" s="35">
        <f t="shared" si="3"/>
        <v>5370530</v>
      </c>
      <c r="F19" s="35">
        <f t="shared" si="3"/>
        <v>5612204</v>
      </c>
      <c r="G19" s="35">
        <f t="shared" si="3"/>
        <v>5421374.9100000001</v>
      </c>
      <c r="H19" s="35">
        <f t="shared" si="3"/>
        <v>5913294</v>
      </c>
      <c r="I19" s="35">
        <f t="shared" si="3"/>
        <v>6296172</v>
      </c>
      <c r="J19" s="35">
        <f t="shared" si="3"/>
        <v>6638386</v>
      </c>
      <c r="K19" s="36">
        <f t="shared" si="3"/>
        <v>6015508</v>
      </c>
      <c r="L19" s="36">
        <f t="shared" ref="L19:U19" si="4">SUM(L16:L18)</f>
        <v>5982319</v>
      </c>
      <c r="M19" s="37">
        <f t="shared" si="4"/>
        <v>6001062</v>
      </c>
      <c r="N19" s="37">
        <f t="shared" si="4"/>
        <v>6718759</v>
      </c>
      <c r="O19" s="37">
        <f t="shared" si="4"/>
        <v>6718759</v>
      </c>
      <c r="P19" s="37">
        <f t="shared" si="4"/>
        <v>6855401</v>
      </c>
      <c r="Q19" s="37">
        <f t="shared" si="4"/>
        <v>7194650</v>
      </c>
      <c r="R19" s="37">
        <f t="shared" si="4"/>
        <v>7518492</v>
      </c>
      <c r="S19" s="37">
        <f t="shared" si="4"/>
        <v>7998947</v>
      </c>
      <c r="T19" s="37">
        <f t="shared" si="4"/>
        <v>8972793</v>
      </c>
      <c r="U19" s="37">
        <f t="shared" si="4"/>
        <v>9034019</v>
      </c>
      <c r="V19" s="38" t="s">
        <v>68</v>
      </c>
      <c r="W19" s="16" t="e">
        <f>#REF!</f>
        <v>#REF!</v>
      </c>
      <c r="X19" s="12" t="e">
        <f>#REF!</f>
        <v>#REF!</v>
      </c>
      <c r="Y19" s="12" t="e">
        <f>#REF!</f>
        <v>#REF!</v>
      </c>
      <c r="Z19" s="12"/>
      <c r="AA19" s="17" t="e">
        <f>#REF!</f>
        <v>#REF!</v>
      </c>
      <c r="AB19" s="17" t="e">
        <f>#REF!</f>
        <v>#REF!</v>
      </c>
      <c r="AC19" s="17" t="e">
        <f>#REF!</f>
        <v>#REF!</v>
      </c>
      <c r="AD19" s="17" t="e">
        <f>#REF!</f>
        <v>#REF!</v>
      </c>
      <c r="AE19" s="17">
        <v>3000</v>
      </c>
      <c r="AF19" s="17" t="e">
        <f>#REF!</f>
        <v>#REF!</v>
      </c>
      <c r="AG19" s="17"/>
      <c r="AH19" s="17" t="e">
        <f>#REF!</f>
        <v>#REF!</v>
      </c>
      <c r="AI19" s="17">
        <f>[1]Omnibus!$AO$153</f>
        <v>0</v>
      </c>
      <c r="AJ19" s="17" t="e">
        <f>AF19</f>
        <v>#REF!</v>
      </c>
      <c r="AK19" s="17" t="e">
        <f>#REF!</f>
        <v>#REF!</v>
      </c>
      <c r="AL19" s="18" t="e">
        <f>#REF!</f>
        <v>#REF!</v>
      </c>
      <c r="AM19" s="17">
        <v>2500</v>
      </c>
      <c r="AN19" s="17" t="e">
        <f>#REF!</f>
        <v>#REF!</v>
      </c>
      <c r="AO19" s="17" t="e">
        <f>#REF!</f>
        <v>#REF!</v>
      </c>
      <c r="AP19" s="17" t="e">
        <f>#REF!</f>
        <v>#REF!</v>
      </c>
      <c r="AQ19" s="12" t="e">
        <f t="shared" ref="AQ19:BB19" si="5">SUM(AQ5:AQ18)</f>
        <v>#REF!</v>
      </c>
      <c r="AR19" s="12">
        <f t="shared" si="5"/>
        <v>26633888.789999999</v>
      </c>
      <c r="AS19" s="12">
        <f t="shared" si="5"/>
        <v>27480069</v>
      </c>
      <c r="AT19" s="12">
        <f t="shared" si="5"/>
        <v>29199694</v>
      </c>
      <c r="AU19" s="12">
        <f t="shared" si="5"/>
        <v>28177263</v>
      </c>
      <c r="AV19" s="12">
        <f t="shared" si="5"/>
        <v>29079384</v>
      </c>
      <c r="AW19" s="12">
        <f t="shared" si="5"/>
        <v>32113005</v>
      </c>
      <c r="AX19" s="12">
        <f t="shared" si="5"/>
        <v>34068191.039999999</v>
      </c>
      <c r="AY19" s="12">
        <f t="shared" si="5"/>
        <v>35526697.870000005</v>
      </c>
      <c r="AZ19" s="12">
        <f t="shared" si="5"/>
        <v>36461335.75</v>
      </c>
      <c r="BA19" s="12">
        <f t="shared" si="5"/>
        <v>35855365.699999996</v>
      </c>
      <c r="BB19" s="12">
        <f t="shared" si="5"/>
        <v>36804408.829999998</v>
      </c>
      <c r="BC19" s="39"/>
      <c r="BD19" s="40"/>
    </row>
    <row r="20" spans="1:56" ht="14" hidden="1" x14ac:dyDescent="0.45">
      <c r="A20" s="15"/>
      <c r="B20" s="41"/>
      <c r="C20" s="12"/>
      <c r="D20" s="12"/>
      <c r="E20" s="12"/>
      <c r="F20" s="12"/>
      <c r="G20" s="12"/>
      <c r="H20" s="12"/>
      <c r="I20" s="12"/>
      <c r="J20" s="1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3" t="s">
        <v>69</v>
      </c>
      <c r="W20" s="16" t="e">
        <f>SUM(W5:W19)</f>
        <v>#REF!</v>
      </c>
      <c r="X20" s="12" t="e">
        <f t="shared" ref="X20:AL20" si="6">SUM(X5:X25)</f>
        <v>#REF!</v>
      </c>
      <c r="Y20" s="12" t="e">
        <f t="shared" si="6"/>
        <v>#REF!</v>
      </c>
      <c r="Z20" s="12" t="e">
        <f t="shared" si="6"/>
        <v>#REF!</v>
      </c>
      <c r="AA20" s="12" t="e">
        <f t="shared" si="6"/>
        <v>#REF!</v>
      </c>
      <c r="AB20" s="12" t="e">
        <f t="shared" si="6"/>
        <v>#REF!</v>
      </c>
      <c r="AC20" s="12" t="e">
        <f t="shared" si="6"/>
        <v>#REF!</v>
      </c>
      <c r="AD20" s="12" t="e">
        <f t="shared" si="6"/>
        <v>#REF!</v>
      </c>
      <c r="AE20" s="12">
        <f t="shared" ca="1" si="6"/>
        <v>2366179700</v>
      </c>
      <c r="AF20" s="12" t="e">
        <f t="shared" si="6"/>
        <v>#REF!</v>
      </c>
      <c r="AG20" s="12" t="e">
        <f t="shared" si="6"/>
        <v>#REF!</v>
      </c>
      <c r="AH20" s="12" t="e">
        <f t="shared" si="6"/>
        <v>#REF!</v>
      </c>
      <c r="AI20" s="12">
        <f t="shared" ca="1" si="6"/>
        <v>2773931490</v>
      </c>
      <c r="AJ20" s="12" t="e">
        <f t="shared" si="6"/>
        <v>#REF!</v>
      </c>
      <c r="AK20" s="12" t="e">
        <f t="shared" si="6"/>
        <v>#REF!</v>
      </c>
      <c r="AL20" s="12" t="e">
        <f t="shared" si="6"/>
        <v>#REF!</v>
      </c>
      <c r="AM20" s="12">
        <f>SUM(AM5:AM19)</f>
        <v>25507326</v>
      </c>
      <c r="AN20" s="12" t="e">
        <f>SUM(AN5:AN25)</f>
        <v>#REF!</v>
      </c>
      <c r="AO20" s="12" t="e">
        <f>SUM(AO5:AO19)</f>
        <v>#REF!</v>
      </c>
      <c r="AP20" s="12" t="e">
        <f>SUM(AP5:AP25)</f>
        <v>#REF!</v>
      </c>
      <c r="AT20" s="17"/>
    </row>
    <row r="21" spans="1:56" ht="14" hidden="1" x14ac:dyDescent="0.45">
      <c r="A21" s="15"/>
      <c r="B21" s="44"/>
      <c r="C21" s="12"/>
      <c r="D21" s="12"/>
      <c r="E21" s="12"/>
      <c r="F21" s="12"/>
      <c r="G21" s="12"/>
      <c r="H21" s="12"/>
      <c r="I21" s="12"/>
      <c r="J21" s="1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3" t="s">
        <v>70</v>
      </c>
      <c r="W21" s="45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O21" s="21">
        <v>-78038</v>
      </c>
      <c r="AQ21" s="21">
        <v>19000</v>
      </c>
      <c r="AT21" s="17"/>
    </row>
    <row r="22" spans="1:56" ht="14" x14ac:dyDescent="0.45">
      <c r="A22" s="15"/>
      <c r="B22" s="44"/>
      <c r="C22" s="12"/>
      <c r="D22" s="12"/>
      <c r="E22" s="12"/>
      <c r="F22" s="12"/>
      <c r="G22" s="12"/>
      <c r="H22" s="12"/>
      <c r="I22" s="12"/>
      <c r="J22" s="1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3"/>
      <c r="W22" s="45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O22" s="21"/>
      <c r="AQ22" s="21"/>
      <c r="AT22" s="17"/>
    </row>
    <row r="23" spans="1:56" ht="14" x14ac:dyDescent="0.45">
      <c r="A23" s="15"/>
      <c r="B23" s="44"/>
      <c r="C23" s="12"/>
      <c r="D23" s="12"/>
      <c r="E23" s="12"/>
      <c r="F23" s="12"/>
      <c r="G23" s="12"/>
      <c r="H23" s="12"/>
      <c r="I23" s="12"/>
      <c r="J23" s="1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3" t="s">
        <v>71</v>
      </c>
      <c r="W23" s="45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O23" s="21"/>
      <c r="AQ23" s="21"/>
      <c r="AT23" s="17"/>
      <c r="AU23" s="47">
        <v>29318.25</v>
      </c>
      <c r="AV23" s="47">
        <v>157932</v>
      </c>
      <c r="AW23" s="47">
        <v>250000</v>
      </c>
      <c r="AX23" s="47">
        <v>0</v>
      </c>
      <c r="AY23" s="47">
        <v>0</v>
      </c>
      <c r="AZ23" s="47">
        <v>0</v>
      </c>
      <c r="BA23" s="47">
        <v>0</v>
      </c>
      <c r="BB23" s="47">
        <v>0</v>
      </c>
    </row>
    <row r="24" spans="1:56" ht="14" x14ac:dyDescent="0.45">
      <c r="A24" s="15"/>
      <c r="B24" s="44"/>
      <c r="C24" s="12"/>
      <c r="D24" s="12"/>
      <c r="E24" s="12"/>
      <c r="F24" s="12"/>
      <c r="G24" s="12"/>
      <c r="H24" s="12"/>
      <c r="I24" s="12"/>
      <c r="J24" s="1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3"/>
      <c r="W24" s="45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O24" s="21"/>
      <c r="AQ24" s="21"/>
      <c r="AT24" s="17"/>
    </row>
    <row r="25" spans="1:56" ht="14" x14ac:dyDescent="0.45">
      <c r="A25" s="10" t="s">
        <v>72</v>
      </c>
      <c r="B25" s="48"/>
      <c r="C25" s="12"/>
      <c r="D25" s="12"/>
      <c r="E25" s="12"/>
      <c r="F25" s="12"/>
      <c r="G25" s="12"/>
      <c r="H25" s="12"/>
      <c r="I25" s="12"/>
      <c r="J25" s="12"/>
      <c r="K25" s="12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49" t="s">
        <v>73</v>
      </c>
      <c r="W25" s="45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O25" s="21">
        <v>169354.89</v>
      </c>
      <c r="AT25" s="17"/>
    </row>
    <row r="26" spans="1:56" ht="14" x14ac:dyDescent="0.45">
      <c r="A26" s="15" t="s">
        <v>74</v>
      </c>
      <c r="B26" s="48">
        <v>1801540</v>
      </c>
      <c r="C26" s="12">
        <v>1866937</v>
      </c>
      <c r="D26" s="12">
        <v>2019000</v>
      </c>
      <c r="E26" s="12">
        <v>2144000</v>
      </c>
      <c r="F26" s="12">
        <v>2304800</v>
      </c>
      <c r="G26" s="12">
        <v>2723428.09</v>
      </c>
      <c r="H26" s="12">
        <v>2304800</v>
      </c>
      <c r="I26" s="12">
        <v>2403600</v>
      </c>
      <c r="J26" s="12">
        <v>2506600</v>
      </c>
      <c r="K26" s="12">
        <v>2215343</v>
      </c>
      <c r="L26" s="21">
        <v>2432666</v>
      </c>
      <c r="M26" s="21">
        <v>2439123</v>
      </c>
      <c r="N26" s="21">
        <v>2432649</v>
      </c>
      <c r="O26" s="21">
        <f>N26</f>
        <v>2432649</v>
      </c>
      <c r="P26" s="21">
        <v>2466928</v>
      </c>
      <c r="Q26" s="21">
        <f>2526876-31000</f>
        <v>2495876</v>
      </c>
      <c r="R26" s="22">
        <v>2691770</v>
      </c>
      <c r="S26" s="22">
        <v>2852226</v>
      </c>
      <c r="T26" s="22">
        <v>2867168</v>
      </c>
      <c r="U26" s="22">
        <v>2940817</v>
      </c>
      <c r="V26" s="50" t="s">
        <v>75</v>
      </c>
      <c r="W26" s="45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O26" s="51"/>
      <c r="AQ26" s="47">
        <v>413943</v>
      </c>
      <c r="AR26" s="47">
        <v>392008</v>
      </c>
      <c r="AS26" s="47">
        <v>340022</v>
      </c>
      <c r="AT26" s="17">
        <f>AS26</f>
        <v>340022</v>
      </c>
      <c r="AU26" s="47">
        <v>318168</v>
      </c>
      <c r="AV26" s="47">
        <f>7451+241290+14647</f>
        <v>263388</v>
      </c>
      <c r="AW26" s="52">
        <f>227741+14398</f>
        <v>242139</v>
      </c>
      <c r="AX26" s="52">
        <f>268906+14137</f>
        <v>283043</v>
      </c>
      <c r="AY26" s="52">
        <f>255013+14615</f>
        <v>269628</v>
      </c>
      <c r="AZ26" s="52">
        <f t="shared" ref="AZ26:AZ28" si="7">AY26</f>
        <v>269628</v>
      </c>
      <c r="BA26" s="52">
        <f>14615+281212</f>
        <v>295827</v>
      </c>
      <c r="BB26" s="52">
        <v>268008</v>
      </c>
      <c r="BC26" s="27"/>
    </row>
    <row r="27" spans="1:56" ht="14" x14ac:dyDescent="0.45">
      <c r="A27" s="29" t="s">
        <v>76</v>
      </c>
      <c r="B27" s="37">
        <f t="shared" ref="B27:U27" si="8">B26</f>
        <v>1801540</v>
      </c>
      <c r="C27" s="37">
        <f t="shared" si="8"/>
        <v>1866937</v>
      </c>
      <c r="D27" s="37">
        <f t="shared" si="8"/>
        <v>2019000</v>
      </c>
      <c r="E27" s="37">
        <f t="shared" si="8"/>
        <v>2144000</v>
      </c>
      <c r="F27" s="37">
        <f t="shared" si="8"/>
        <v>2304800</v>
      </c>
      <c r="G27" s="37">
        <f t="shared" si="8"/>
        <v>2723428.09</v>
      </c>
      <c r="H27" s="37">
        <f t="shared" si="8"/>
        <v>2304800</v>
      </c>
      <c r="I27" s="37">
        <f t="shared" si="8"/>
        <v>2403600</v>
      </c>
      <c r="J27" s="37">
        <f t="shared" si="8"/>
        <v>2506600</v>
      </c>
      <c r="K27" s="37">
        <f t="shared" si="8"/>
        <v>2215343</v>
      </c>
      <c r="L27" s="37">
        <f t="shared" si="8"/>
        <v>2432666</v>
      </c>
      <c r="M27" s="37">
        <f t="shared" si="8"/>
        <v>2439123</v>
      </c>
      <c r="N27" s="37">
        <f t="shared" si="8"/>
        <v>2432649</v>
      </c>
      <c r="O27" s="37">
        <f t="shared" si="8"/>
        <v>2432649</v>
      </c>
      <c r="P27" s="37">
        <f t="shared" si="8"/>
        <v>2466928</v>
      </c>
      <c r="Q27" s="37">
        <f t="shared" si="8"/>
        <v>2495876</v>
      </c>
      <c r="R27" s="37">
        <f t="shared" si="8"/>
        <v>2691770</v>
      </c>
      <c r="S27" s="37">
        <f t="shared" si="8"/>
        <v>2852226</v>
      </c>
      <c r="T27" s="37">
        <f t="shared" si="8"/>
        <v>2867168</v>
      </c>
      <c r="U27" s="37">
        <f t="shared" si="8"/>
        <v>2940817</v>
      </c>
      <c r="V27" s="50" t="s">
        <v>77</v>
      </c>
      <c r="W27" s="16">
        <v>18255</v>
      </c>
      <c r="X27" s="16">
        <v>380862</v>
      </c>
      <c r="Y27" s="16">
        <v>395575</v>
      </c>
      <c r="Z27" s="16">
        <f>AA27</f>
        <v>417011</v>
      </c>
      <c r="AA27" s="16">
        <v>417011</v>
      </c>
      <c r="AB27" s="16">
        <v>435777</v>
      </c>
      <c r="AC27" s="16">
        <v>435777</v>
      </c>
      <c r="AD27" s="16">
        <v>435777</v>
      </c>
      <c r="AE27" s="16">
        <v>459896.35</v>
      </c>
      <c r="AF27" s="16">
        <v>481218</v>
      </c>
      <c r="AG27" s="16">
        <v>509137</v>
      </c>
      <c r="AH27" s="16">
        <f>AJ27</f>
        <v>488308</v>
      </c>
      <c r="AI27" s="16">
        <f>AJ27</f>
        <v>488308</v>
      </c>
      <c r="AJ27" s="16">
        <v>488308</v>
      </c>
      <c r="AK27" s="16">
        <f>AJ27</f>
        <v>488308</v>
      </c>
      <c r="AL27" s="16">
        <v>466295</v>
      </c>
      <c r="AM27" s="16">
        <v>466295</v>
      </c>
      <c r="AN27" s="53">
        <v>360982</v>
      </c>
      <c r="AO27" s="47">
        <f>AN27</f>
        <v>360982</v>
      </c>
      <c r="AP27" s="47">
        <v>426243</v>
      </c>
      <c r="AQ27" s="47">
        <v>129010</v>
      </c>
      <c r="AR27" s="47">
        <v>130334</v>
      </c>
      <c r="AS27" s="47">
        <v>134938</v>
      </c>
      <c r="AT27" s="17">
        <f>AS27</f>
        <v>134938</v>
      </c>
      <c r="AU27" s="47">
        <v>138384</v>
      </c>
      <c r="AV27" s="47">
        <f>1113163-959672</f>
        <v>153491</v>
      </c>
      <c r="AW27" s="52">
        <v>153640</v>
      </c>
      <c r="AX27" s="52">
        <v>161011</v>
      </c>
      <c r="AY27" s="52">
        <f>1311293-1137655</f>
        <v>173638</v>
      </c>
      <c r="AZ27" s="52">
        <f t="shared" si="7"/>
        <v>173638</v>
      </c>
      <c r="BA27" s="52">
        <v>174315</v>
      </c>
      <c r="BB27" s="52">
        <v>178585</v>
      </c>
    </row>
    <row r="28" spans="1:56" ht="14" x14ac:dyDescent="0.45">
      <c r="A28" s="29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0" t="s">
        <v>78</v>
      </c>
      <c r="W28" s="16">
        <v>70255</v>
      </c>
      <c r="X28" s="16">
        <v>80121</v>
      </c>
      <c r="Y28" s="16">
        <v>92056</v>
      </c>
      <c r="Z28" s="16">
        <f>AA28</f>
        <v>107189</v>
      </c>
      <c r="AA28" s="16">
        <v>107189</v>
      </c>
      <c r="AB28" s="16">
        <f>AA28</f>
        <v>107189</v>
      </c>
      <c r="AC28" s="16">
        <v>107189</v>
      </c>
      <c r="AD28" s="16">
        <v>107189</v>
      </c>
      <c r="AE28" s="16">
        <v>107893</v>
      </c>
      <c r="AF28" s="16">
        <v>130754</v>
      </c>
      <c r="AG28" s="16">
        <v>140484</v>
      </c>
      <c r="AH28" s="16">
        <f>AJ28</f>
        <v>140677</v>
      </c>
      <c r="AI28" s="16">
        <f>AJ28</f>
        <v>140677</v>
      </c>
      <c r="AJ28" s="16">
        <v>140677</v>
      </c>
      <c r="AK28" s="16">
        <f>AJ28</f>
        <v>140677</v>
      </c>
      <c r="AL28" s="16">
        <v>145071</v>
      </c>
      <c r="AM28" s="16">
        <v>145071</v>
      </c>
      <c r="AN28" s="53">
        <v>135718</v>
      </c>
      <c r="AO28" s="47">
        <f>AN28</f>
        <v>135718</v>
      </c>
      <c r="AP28" s="47">
        <v>130705</v>
      </c>
      <c r="AQ28" s="47">
        <v>610318</v>
      </c>
      <c r="AR28" s="47">
        <v>671606</v>
      </c>
      <c r="AS28" s="47">
        <v>926658</v>
      </c>
      <c r="AT28" s="17">
        <f>AS28</f>
        <v>926658</v>
      </c>
      <c r="AU28" s="47">
        <v>1023698</v>
      </c>
      <c r="AV28" s="47">
        <v>959672</v>
      </c>
      <c r="AW28" s="52">
        <v>1149555</v>
      </c>
      <c r="AX28" s="52">
        <v>972796</v>
      </c>
      <c r="AY28" s="52">
        <f>615314+522341</f>
        <v>1137655</v>
      </c>
      <c r="AZ28" s="52">
        <f t="shared" si="7"/>
        <v>1137655</v>
      </c>
      <c r="BA28" s="52">
        <v>1214467</v>
      </c>
      <c r="BB28" s="52">
        <v>977102</v>
      </c>
    </row>
    <row r="29" spans="1:56" ht="14" x14ac:dyDescent="0.45">
      <c r="A29" s="10" t="s">
        <v>79</v>
      </c>
      <c r="B29" s="45"/>
      <c r="C29" s="12"/>
      <c r="D29" s="12"/>
      <c r="E29" s="12"/>
      <c r="F29" s="12"/>
      <c r="G29" s="12"/>
      <c r="H29" s="12"/>
      <c r="I29" s="12"/>
      <c r="J29" s="12"/>
      <c r="K29" s="12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50" t="s">
        <v>80</v>
      </c>
      <c r="W29" s="16">
        <v>0</v>
      </c>
      <c r="X29" s="16">
        <v>614718</v>
      </c>
      <c r="Y29" s="16">
        <v>682961</v>
      </c>
      <c r="Z29" s="16">
        <f>AA29</f>
        <v>583916</v>
      </c>
      <c r="AA29" s="16">
        <v>583916</v>
      </c>
      <c r="AB29" s="16">
        <f>AA29</f>
        <v>583916</v>
      </c>
      <c r="AC29" s="16">
        <v>583916</v>
      </c>
      <c r="AD29" s="16">
        <v>583916</v>
      </c>
      <c r="AE29" s="16">
        <v>655311</v>
      </c>
      <c r="AF29" s="16">
        <v>690551</v>
      </c>
      <c r="AG29" s="16">
        <v>687880</v>
      </c>
      <c r="AH29" s="16">
        <f>AJ29</f>
        <v>541677</v>
      </c>
      <c r="AI29" s="16">
        <f>AJ29</f>
        <v>541677</v>
      </c>
      <c r="AJ29" s="16">
        <v>541677</v>
      </c>
      <c r="AK29" s="16">
        <f>AJ29</f>
        <v>541677</v>
      </c>
      <c r="AL29" s="16">
        <v>655725</v>
      </c>
      <c r="AM29" s="16">
        <f>+AL29</f>
        <v>655725</v>
      </c>
      <c r="AN29" s="53">
        <v>567691</v>
      </c>
      <c r="AO29" s="47">
        <f>AN29</f>
        <v>567691</v>
      </c>
      <c r="AP29" s="47">
        <v>535599</v>
      </c>
      <c r="AT29" s="17"/>
    </row>
    <row r="30" spans="1:56" ht="14" x14ac:dyDescent="0.45">
      <c r="A30" s="15" t="s">
        <v>81</v>
      </c>
      <c r="B30" s="16">
        <v>125000</v>
      </c>
      <c r="C30" s="12">
        <v>15000</v>
      </c>
      <c r="D30" s="12">
        <v>26015.01</v>
      </c>
      <c r="E30" s="12">
        <v>6728.52</v>
      </c>
      <c r="F30" s="12">
        <v>0</v>
      </c>
      <c r="G30" s="12">
        <v>6728.52</v>
      </c>
      <c r="H30" s="12">
        <v>25024.94</v>
      </c>
      <c r="I30" s="12">
        <v>0</v>
      </c>
      <c r="J30" s="33">
        <v>23109.38</v>
      </c>
      <c r="K30" s="55"/>
      <c r="L30" s="22"/>
      <c r="M30" s="22"/>
      <c r="N30" s="22"/>
      <c r="O30" s="22"/>
      <c r="P30" s="22">
        <v>4318.25</v>
      </c>
      <c r="Q30" s="22"/>
      <c r="R30" s="22"/>
      <c r="S30" s="22"/>
      <c r="T30" s="22"/>
      <c r="U30" s="22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47">
        <v>-134287</v>
      </c>
      <c r="AP30" s="16"/>
      <c r="AT30" s="17"/>
    </row>
    <row r="31" spans="1:56" ht="14" x14ac:dyDescent="0.45">
      <c r="A31" s="15" t="s">
        <v>82</v>
      </c>
      <c r="B31" s="56"/>
      <c r="C31" s="57"/>
      <c r="D31" s="57"/>
      <c r="E31" s="57">
        <v>1133125</v>
      </c>
      <c r="F31" s="57">
        <v>0</v>
      </c>
      <c r="G31" s="57">
        <v>1133125</v>
      </c>
      <c r="H31" s="57">
        <v>1108377.54</v>
      </c>
      <c r="I31" s="57">
        <v>303810</v>
      </c>
      <c r="J31" s="12">
        <v>406074</v>
      </c>
      <c r="K31" s="12"/>
      <c r="L31" s="21">
        <v>239841</v>
      </c>
      <c r="M31" s="21">
        <v>39124</v>
      </c>
      <c r="N31" s="21"/>
      <c r="O31" s="21"/>
      <c r="P31" s="21">
        <v>440958</v>
      </c>
      <c r="Q31" s="21">
        <v>229292</v>
      </c>
      <c r="R31" s="21">
        <f>233618+250000</f>
        <v>483618</v>
      </c>
      <c r="S31" s="21">
        <v>250000</v>
      </c>
      <c r="T31" s="21">
        <f>674541.69+21410.96+25000</f>
        <v>720952.64999999991</v>
      </c>
      <c r="U31" s="21">
        <v>602736</v>
      </c>
      <c r="V31" s="29" t="s">
        <v>83</v>
      </c>
      <c r="AQ31" s="16">
        <f>SUM(AQ26:AQ30)</f>
        <v>1153271</v>
      </c>
      <c r="AR31" s="16">
        <f>SUM(AR26:AR30)</f>
        <v>1193948</v>
      </c>
      <c r="AS31" s="16">
        <f>SUM(AS26:AS30)</f>
        <v>1401618</v>
      </c>
      <c r="AT31" s="17">
        <f>AS31</f>
        <v>1401618</v>
      </c>
      <c r="AU31" s="16">
        <f>SUM(AU26:AU30)</f>
        <v>1480250</v>
      </c>
      <c r="AV31" s="16">
        <f>SUM(AV26:AV30)</f>
        <v>1376551</v>
      </c>
      <c r="AW31" s="16">
        <f>SUM(AW26:AW30)</f>
        <v>1545334</v>
      </c>
      <c r="AX31" s="16">
        <f>SUM(AX26:AX30)</f>
        <v>1416850</v>
      </c>
      <c r="AY31" s="16">
        <f t="shared" ref="AY31:BB31" si="9">SUM(AY26:AY30)</f>
        <v>1580921</v>
      </c>
      <c r="AZ31" s="16">
        <f t="shared" si="9"/>
        <v>1580921</v>
      </c>
      <c r="BA31" s="16">
        <f t="shared" si="9"/>
        <v>1684609</v>
      </c>
      <c r="BB31" s="16">
        <f t="shared" si="9"/>
        <v>1423695</v>
      </c>
    </row>
    <row r="32" spans="1:56" ht="14" x14ac:dyDescent="0.45">
      <c r="A32" s="15" t="s">
        <v>84</v>
      </c>
      <c r="B32" s="16">
        <v>50000</v>
      </c>
      <c r="C32" s="12">
        <v>30000</v>
      </c>
      <c r="D32" s="12">
        <v>17397.36</v>
      </c>
      <c r="E32" s="12">
        <v>350000</v>
      </c>
      <c r="F32" s="12">
        <v>0</v>
      </c>
      <c r="G32" s="12">
        <v>350000</v>
      </c>
      <c r="H32" s="12">
        <v>35542</v>
      </c>
      <c r="I32" s="12">
        <v>22358</v>
      </c>
      <c r="J32" s="12">
        <v>84779.57</v>
      </c>
      <c r="K32" s="12">
        <v>27601.81</v>
      </c>
      <c r="L32" s="21">
        <v>22785</v>
      </c>
      <c r="M32" s="21"/>
      <c r="N32" s="21">
        <f>25294+30000</f>
        <v>55294</v>
      </c>
      <c r="O32" s="21">
        <f>N32</f>
        <v>55294</v>
      </c>
      <c r="P32" s="21">
        <v>7871</v>
      </c>
      <c r="Q32" s="21">
        <f>67398.26+1500+2439</f>
        <v>71337.259999999995</v>
      </c>
      <c r="R32" s="21">
        <v>67284.639999999999</v>
      </c>
      <c r="S32" s="21">
        <v>20451.95</v>
      </c>
      <c r="T32" s="21"/>
      <c r="U32" s="21">
        <v>54478.03</v>
      </c>
      <c r="V32" s="50"/>
      <c r="W32" s="16">
        <f>SUM(W27:W31)</f>
        <v>88510</v>
      </c>
      <c r="X32" s="16">
        <f>SUM(X27:X31)</f>
        <v>1075701</v>
      </c>
      <c r="Y32" s="16">
        <f>SUM(Y27:Y31)</f>
        <v>1170592</v>
      </c>
      <c r="Z32" s="16">
        <f>AA32</f>
        <v>1108116</v>
      </c>
      <c r="AA32" s="16">
        <f t="shared" ref="AA32:AH32" si="10">SUM(AA27:AA31)</f>
        <v>1108116</v>
      </c>
      <c r="AB32" s="16">
        <f t="shared" si="10"/>
        <v>1126882</v>
      </c>
      <c r="AC32" s="16">
        <f t="shared" si="10"/>
        <v>1126882</v>
      </c>
      <c r="AD32" s="16">
        <f t="shared" si="10"/>
        <v>1126882</v>
      </c>
      <c r="AE32" s="16">
        <f t="shared" si="10"/>
        <v>1223100.3500000001</v>
      </c>
      <c r="AF32" s="16">
        <f t="shared" si="10"/>
        <v>1302523</v>
      </c>
      <c r="AG32" s="16">
        <f t="shared" si="10"/>
        <v>1337501</v>
      </c>
      <c r="AH32" s="16">
        <f t="shared" si="10"/>
        <v>1170662</v>
      </c>
      <c r="AI32" s="16">
        <f>AJ32</f>
        <v>1170662</v>
      </c>
      <c r="AJ32" s="16">
        <f t="shared" ref="AJ32:AP32" si="11">SUM(AJ27:AJ31)</f>
        <v>1170662</v>
      </c>
      <c r="AK32" s="16">
        <f t="shared" si="11"/>
        <v>1170662</v>
      </c>
      <c r="AL32" s="16">
        <f t="shared" si="11"/>
        <v>1267091</v>
      </c>
      <c r="AM32" s="16">
        <f t="shared" si="11"/>
        <v>1267091</v>
      </c>
      <c r="AN32" s="16">
        <f t="shared" si="11"/>
        <v>1064391</v>
      </c>
      <c r="AO32" s="16">
        <f t="shared" si="11"/>
        <v>930104</v>
      </c>
      <c r="AP32" s="16">
        <f t="shared" si="11"/>
        <v>1092547</v>
      </c>
      <c r="AT32" s="17"/>
    </row>
    <row r="33" spans="1:54" ht="14" x14ac:dyDescent="0.45">
      <c r="A33" s="15" t="s">
        <v>85</v>
      </c>
      <c r="B33" s="16"/>
      <c r="C33" s="12"/>
      <c r="D33" s="12"/>
      <c r="E33" s="12"/>
      <c r="F33" s="12"/>
      <c r="G33" s="12"/>
      <c r="H33" s="12"/>
      <c r="I33" s="12"/>
      <c r="J33" s="12"/>
      <c r="K33" s="12"/>
      <c r="L33" s="21"/>
      <c r="M33" s="21"/>
      <c r="N33" s="21"/>
      <c r="O33" s="21"/>
      <c r="P33" s="21"/>
      <c r="Q33" s="21">
        <v>624000</v>
      </c>
      <c r="R33" s="21"/>
      <c r="S33" s="21"/>
      <c r="T33" s="21"/>
      <c r="U33" s="21"/>
      <c r="V33" s="50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T33" s="17"/>
    </row>
    <row r="34" spans="1:54" ht="14" x14ac:dyDescent="0.45">
      <c r="A34" s="15" t="s">
        <v>86</v>
      </c>
      <c r="B34" s="16"/>
      <c r="C34" s="12"/>
      <c r="D34" s="12"/>
      <c r="E34" s="12">
        <v>1725000</v>
      </c>
      <c r="F34" s="12"/>
      <c r="G34" s="12">
        <v>1725000</v>
      </c>
      <c r="H34" s="12">
        <v>491000</v>
      </c>
      <c r="I34" s="12">
        <v>835000</v>
      </c>
      <c r="J34" s="12">
        <v>249960</v>
      </c>
      <c r="K34" s="12"/>
      <c r="L34" s="21">
        <v>110000</v>
      </c>
      <c r="M34" s="21">
        <v>405000</v>
      </c>
      <c r="N34" s="21">
        <v>720000</v>
      </c>
      <c r="O34" s="21">
        <v>720000</v>
      </c>
      <c r="P34" s="21"/>
      <c r="Q34" s="21">
        <v>2625000</v>
      </c>
      <c r="R34" s="21">
        <f>222768+300000</f>
        <v>522768</v>
      </c>
      <c r="S34" s="21"/>
      <c r="T34" s="21"/>
      <c r="U34" s="21">
        <v>417000</v>
      </c>
      <c r="V34" s="5" t="s">
        <v>87</v>
      </c>
      <c r="W34" s="58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Q34" s="16">
        <v>124378.48</v>
      </c>
      <c r="AR34" s="16">
        <v>145000</v>
      </c>
      <c r="AS34" s="16">
        <v>156740.57</v>
      </c>
      <c r="AT34" s="17">
        <f>AS34</f>
        <v>156740.57</v>
      </c>
      <c r="AU34" s="16">
        <v>145256.6</v>
      </c>
      <c r="AV34" s="16">
        <v>207330.39</v>
      </c>
      <c r="AW34" s="16">
        <v>140212.29</v>
      </c>
      <c r="AX34" s="16">
        <v>140934.6</v>
      </c>
      <c r="AY34" s="16">
        <v>175000</v>
      </c>
      <c r="AZ34" s="16">
        <v>175000</v>
      </c>
      <c r="BA34" s="16">
        <v>174071.24</v>
      </c>
      <c r="BB34" s="16">
        <v>175627.01</v>
      </c>
    </row>
    <row r="35" spans="1:54" ht="14" x14ac:dyDescent="0.45">
      <c r="A35" s="15" t="s">
        <v>88</v>
      </c>
      <c r="B35" s="16"/>
      <c r="C35" s="12"/>
      <c r="D35" s="12"/>
      <c r="E35" s="12"/>
      <c r="F35" s="12">
        <v>269938</v>
      </c>
      <c r="G35" s="12"/>
      <c r="H35" s="12">
        <v>32079</v>
      </c>
      <c r="I35" s="12">
        <v>250000</v>
      </c>
      <c r="J35" s="12">
        <v>0</v>
      </c>
      <c r="K35" s="34">
        <v>112500</v>
      </c>
      <c r="L35" s="22">
        <v>213252</v>
      </c>
      <c r="M35" s="22"/>
      <c r="N35" s="22">
        <v>138700</v>
      </c>
      <c r="O35" s="22">
        <v>138700</v>
      </c>
      <c r="P35" s="22"/>
      <c r="Q35" s="22"/>
      <c r="R35" s="22"/>
      <c r="S35" s="22"/>
      <c r="T35" s="22"/>
      <c r="U35" s="22"/>
      <c r="V35" s="5" t="s">
        <v>89</v>
      </c>
      <c r="W35" s="16">
        <v>92035.55</v>
      </c>
      <c r="X35" s="16">
        <v>90000.77</v>
      </c>
      <c r="Y35" s="16">
        <v>134938.19</v>
      </c>
      <c r="Z35" s="16">
        <f>AA35</f>
        <v>97980.55</v>
      </c>
      <c r="AA35" s="16">
        <v>97980.55</v>
      </c>
      <c r="AB35" s="16">
        <v>100000</v>
      </c>
      <c r="AC35" s="16">
        <v>100000</v>
      </c>
      <c r="AD35" s="16">
        <v>100000</v>
      </c>
      <c r="AE35" s="16">
        <v>97980.55</v>
      </c>
      <c r="AF35" s="16">
        <v>99549.94</v>
      </c>
      <c r="AG35" s="16">
        <v>100000</v>
      </c>
      <c r="AH35" s="16">
        <f>AJ35</f>
        <v>129270.48</v>
      </c>
      <c r="AI35" s="16">
        <f>AJ35</f>
        <v>129270.48</v>
      </c>
      <c r="AJ35" s="16">
        <v>129270.48</v>
      </c>
      <c r="AK35" s="16">
        <f>AJ35</f>
        <v>129270.48</v>
      </c>
      <c r="AL35" s="16">
        <v>100308.62</v>
      </c>
      <c r="AM35" s="16">
        <v>97988.2</v>
      </c>
      <c r="AN35" s="16">
        <v>145000</v>
      </c>
      <c r="AO35" s="16">
        <v>141583.39000000001</v>
      </c>
      <c r="AP35" s="16">
        <v>145000</v>
      </c>
      <c r="AQ35" s="16">
        <v>583808</v>
      </c>
      <c r="AR35" s="16">
        <v>597771</v>
      </c>
      <c r="AS35" s="16">
        <v>684989</v>
      </c>
      <c r="AT35" s="17">
        <f>AS35</f>
        <v>684989</v>
      </c>
      <c r="AU35" s="16">
        <v>725771</v>
      </c>
      <c r="AV35" s="16">
        <v>831727</v>
      </c>
      <c r="AW35" s="52">
        <v>967652</v>
      </c>
      <c r="AX35" s="52">
        <v>1051795</v>
      </c>
      <c r="AY35" s="52">
        <v>1106982</v>
      </c>
      <c r="AZ35" s="52">
        <f>AY35</f>
        <v>1106982</v>
      </c>
      <c r="BA35" s="52">
        <f>AZ35</f>
        <v>1106982</v>
      </c>
      <c r="BB35" s="52">
        <v>1221814</v>
      </c>
    </row>
    <row r="36" spans="1:54" ht="14" x14ac:dyDescent="0.45">
      <c r="A36" s="15" t="s">
        <v>90</v>
      </c>
      <c r="B36" s="16"/>
      <c r="C36" s="12">
        <v>35381</v>
      </c>
      <c r="D36" s="12">
        <v>0</v>
      </c>
      <c r="E36" s="12">
        <v>0</v>
      </c>
      <c r="F36" s="12">
        <v>0</v>
      </c>
      <c r="G36" s="12"/>
      <c r="H36" s="12">
        <v>804425.12</v>
      </c>
      <c r="I36" s="12">
        <v>828334</v>
      </c>
      <c r="J36" s="12">
        <v>586560.88</v>
      </c>
      <c r="K36" s="12">
        <v>559058</v>
      </c>
      <c r="L36" s="12">
        <v>559057</v>
      </c>
      <c r="M36" s="12">
        <v>559057</v>
      </c>
      <c r="N36" s="12">
        <v>559057</v>
      </c>
      <c r="O36" s="12">
        <f>N36</f>
        <v>559057</v>
      </c>
      <c r="P36" s="12">
        <v>559057</v>
      </c>
      <c r="Q36" s="12">
        <v>534199</v>
      </c>
      <c r="R36" s="12">
        <v>534198</v>
      </c>
      <c r="S36" s="12">
        <v>534198</v>
      </c>
      <c r="T36" s="12">
        <v>534198</v>
      </c>
      <c r="U36" s="12">
        <v>534198</v>
      </c>
      <c r="V36" s="5" t="s">
        <v>91</v>
      </c>
      <c r="W36" s="16">
        <v>364229</v>
      </c>
      <c r="X36" s="16">
        <v>361002</v>
      </c>
      <c r="Y36" s="16">
        <v>369912</v>
      </c>
      <c r="Z36" s="16">
        <f>AA36</f>
        <v>442008</v>
      </c>
      <c r="AA36" s="16">
        <v>442008</v>
      </c>
      <c r="AB36" s="16">
        <v>435584</v>
      </c>
      <c r="AC36" s="16">
        <v>435584</v>
      </c>
      <c r="AD36" s="16">
        <v>435584</v>
      </c>
      <c r="AE36" s="16">
        <v>442008</v>
      </c>
      <c r="AF36" s="16">
        <v>435584</v>
      </c>
      <c r="AG36" s="16">
        <v>438971</v>
      </c>
      <c r="AH36" s="16">
        <f>AJ36</f>
        <v>438971</v>
      </c>
      <c r="AI36" s="16">
        <f>AJ36</f>
        <v>438971</v>
      </c>
      <c r="AJ36" s="16">
        <v>438971</v>
      </c>
      <c r="AK36" s="16">
        <f>AJ36</f>
        <v>438971</v>
      </c>
      <c r="AL36" s="16">
        <f>AM36</f>
        <v>493121</v>
      </c>
      <c r="AM36" s="16">
        <v>493121</v>
      </c>
      <c r="AN36" s="16">
        <v>528137</v>
      </c>
      <c r="AO36" s="16">
        <f>AN36</f>
        <v>528137</v>
      </c>
      <c r="AP36" s="16">
        <v>586232</v>
      </c>
      <c r="AQ36" s="16">
        <v>5500</v>
      </c>
      <c r="AR36" s="16">
        <v>6500</v>
      </c>
      <c r="AS36" s="16">
        <v>6500</v>
      </c>
      <c r="AT36" s="17">
        <f>AS36</f>
        <v>6500</v>
      </c>
      <c r="AU36" s="16">
        <v>6500</v>
      </c>
      <c r="AV36" s="16">
        <v>10500</v>
      </c>
      <c r="AW36" s="16">
        <v>8000</v>
      </c>
      <c r="AX36" s="16">
        <v>8000</v>
      </c>
      <c r="AY36" s="16">
        <v>8000</v>
      </c>
      <c r="AZ36" s="16">
        <f>AY36</f>
        <v>8000</v>
      </c>
      <c r="BA36" s="16">
        <f>AZ36</f>
        <v>8000</v>
      </c>
      <c r="BB36" s="16">
        <v>10500</v>
      </c>
    </row>
    <row r="37" spans="1:54" ht="14" hidden="1" x14ac:dyDescent="0.45">
      <c r="A37" s="15" t="s">
        <v>92</v>
      </c>
      <c r="B37" s="16"/>
      <c r="C37" s="12"/>
      <c r="D37" s="12"/>
      <c r="E37" s="12"/>
      <c r="F37" s="12"/>
      <c r="G37" s="12"/>
      <c r="H37" s="12"/>
      <c r="I37" s="12"/>
      <c r="J37" s="12"/>
      <c r="K37" s="12">
        <v>121950</v>
      </c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59"/>
      <c r="W37" s="16">
        <v>10000</v>
      </c>
      <c r="X37" s="16">
        <v>10000</v>
      </c>
      <c r="Y37" s="16">
        <f>X37</f>
        <v>10000</v>
      </c>
      <c r="Z37" s="16">
        <f>AA37</f>
        <v>10000</v>
      </c>
      <c r="AA37" s="16">
        <v>10000</v>
      </c>
      <c r="AB37" s="16">
        <v>10000</v>
      </c>
      <c r="AC37" s="16">
        <v>10000</v>
      </c>
      <c r="AD37" s="16">
        <v>10000</v>
      </c>
      <c r="AE37" s="16">
        <v>10000</v>
      </c>
      <c r="AF37" s="16">
        <v>10000</v>
      </c>
      <c r="AG37" s="16">
        <v>10000</v>
      </c>
      <c r="AH37" s="16">
        <f>AJ37</f>
        <v>10000</v>
      </c>
      <c r="AI37" s="16">
        <f>AJ37</f>
        <v>10000</v>
      </c>
      <c r="AJ37" s="16">
        <v>10000</v>
      </c>
      <c r="AK37" s="16">
        <f>AJ37</f>
        <v>10000</v>
      </c>
      <c r="AL37" s="16">
        <f>AM37</f>
        <v>6500</v>
      </c>
      <c r="AM37" s="16">
        <v>6500</v>
      </c>
      <c r="AN37" s="16">
        <v>3500</v>
      </c>
      <c r="AO37" s="16">
        <f>AN37</f>
        <v>3500</v>
      </c>
      <c r="AP37" s="16">
        <v>5500</v>
      </c>
      <c r="AT37" s="17"/>
    </row>
    <row r="38" spans="1:54" ht="14" hidden="1" x14ac:dyDescent="0.45">
      <c r="A38" s="15" t="s">
        <v>93</v>
      </c>
      <c r="B38" s="41"/>
      <c r="C38" s="12"/>
      <c r="D38" s="12"/>
      <c r="E38" s="12"/>
      <c r="F38" s="12"/>
      <c r="G38" s="12"/>
      <c r="H38" s="12"/>
      <c r="I38" s="12"/>
      <c r="J38" s="12"/>
      <c r="K38" s="42">
        <v>1897</v>
      </c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49" t="s">
        <v>94</v>
      </c>
      <c r="W38" s="16">
        <v>44655.29</v>
      </c>
      <c r="AA38" s="46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46"/>
      <c r="AM38" s="46"/>
      <c r="AT38" s="17"/>
    </row>
    <row r="39" spans="1:54" ht="14" hidden="1" x14ac:dyDescent="0.45">
      <c r="A39" s="15" t="s">
        <v>95</v>
      </c>
      <c r="B39" s="44"/>
      <c r="C39" s="12"/>
      <c r="D39" s="12"/>
      <c r="E39" s="12"/>
      <c r="F39" s="12"/>
      <c r="G39" s="12"/>
      <c r="H39" s="12"/>
      <c r="I39" s="12"/>
      <c r="J39" s="12"/>
      <c r="K39" s="42">
        <v>-174492</v>
      </c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49"/>
      <c r="W39" s="16">
        <v>326000</v>
      </c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P39" s="16"/>
      <c r="AT39" s="17"/>
    </row>
    <row r="40" spans="1:54" ht="14" x14ac:dyDescent="0.45">
      <c r="A40" s="60"/>
      <c r="B40" s="16"/>
      <c r="C40" s="12"/>
      <c r="D40" s="12"/>
      <c r="E40" s="12"/>
      <c r="F40" s="12"/>
      <c r="G40" s="12"/>
      <c r="H40" s="12"/>
      <c r="I40" s="12"/>
      <c r="J40" s="12"/>
      <c r="K40" s="12">
        <v>13409.89</v>
      </c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49" t="s">
        <v>96</v>
      </c>
      <c r="W40" s="1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6"/>
      <c r="AP40" s="16"/>
      <c r="AQ40" s="16">
        <v>317785</v>
      </c>
      <c r="AR40" s="16">
        <v>538765</v>
      </c>
      <c r="AS40" s="16">
        <v>464487</v>
      </c>
      <c r="AT40" s="61">
        <v>464487</v>
      </c>
      <c r="AU40" s="16">
        <v>652483</v>
      </c>
      <c r="AV40" s="16">
        <v>1114152</v>
      </c>
      <c r="AW40" s="47">
        <v>801578</v>
      </c>
      <c r="AX40" s="47">
        <v>619475</v>
      </c>
      <c r="AY40" s="47">
        <v>600000</v>
      </c>
      <c r="AZ40" s="47">
        <v>633317</v>
      </c>
      <c r="BA40" s="47">
        <f>633317+25000</f>
        <v>658317</v>
      </c>
      <c r="BB40" s="47">
        <f>520214+935000</f>
        <v>1455214</v>
      </c>
    </row>
    <row r="41" spans="1:54" ht="14" x14ac:dyDescent="0.45">
      <c r="A41" s="12"/>
      <c r="B41" s="16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49" t="s">
        <v>97</v>
      </c>
      <c r="W41" s="1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6"/>
      <c r="AP41" s="16"/>
      <c r="AQ41" s="16"/>
      <c r="AR41" s="16"/>
      <c r="AS41" s="16">
        <v>138700</v>
      </c>
      <c r="AT41" s="61">
        <v>138700</v>
      </c>
      <c r="AW41" s="16">
        <v>300000</v>
      </c>
      <c r="AX41" s="16">
        <v>0</v>
      </c>
      <c r="AY41" s="16"/>
      <c r="AZ41" s="16"/>
      <c r="BA41" s="16"/>
      <c r="BB41" s="16"/>
    </row>
    <row r="42" spans="1:54" ht="14" x14ac:dyDescent="0.45">
      <c r="A42" s="62" t="s">
        <v>98</v>
      </c>
      <c r="B42" s="16">
        <v>0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49" t="s">
        <v>99</v>
      </c>
      <c r="W42" s="1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6"/>
      <c r="AP42" s="16"/>
      <c r="AQ42" s="16"/>
      <c r="AR42" s="16"/>
      <c r="AS42" s="16"/>
      <c r="AT42" s="61"/>
      <c r="AU42" s="16"/>
      <c r="AV42" s="16">
        <v>25000</v>
      </c>
      <c r="AW42" s="16"/>
      <c r="AX42" s="16"/>
      <c r="AY42" s="16"/>
      <c r="AZ42" s="16"/>
      <c r="BA42" s="16"/>
      <c r="BB42" s="16"/>
    </row>
    <row r="43" spans="1:54" ht="14" x14ac:dyDescent="0.45">
      <c r="A43" s="15" t="s">
        <v>100</v>
      </c>
      <c r="B43" s="16">
        <v>20000</v>
      </c>
      <c r="C43" s="16">
        <v>20000</v>
      </c>
      <c r="D43" s="16">
        <v>20000</v>
      </c>
      <c r="E43" s="12">
        <v>20000</v>
      </c>
      <c r="F43" s="12">
        <v>20000</v>
      </c>
      <c r="G43" s="12">
        <v>20000</v>
      </c>
      <c r="H43" s="12">
        <v>20000</v>
      </c>
      <c r="I43" s="12"/>
      <c r="J43" s="12">
        <v>30715</v>
      </c>
      <c r="K43" s="12">
        <v>30715</v>
      </c>
      <c r="L43" s="12">
        <v>30715</v>
      </c>
      <c r="M43" s="12">
        <v>30715</v>
      </c>
      <c r="N43" s="12">
        <v>36858</v>
      </c>
      <c r="O43" s="12">
        <f>N43</f>
        <v>36858</v>
      </c>
      <c r="P43" s="21">
        <v>23525</v>
      </c>
      <c r="Q43" s="21">
        <v>23525</v>
      </c>
      <c r="R43" s="21" t="s">
        <v>101</v>
      </c>
      <c r="S43" s="21"/>
      <c r="T43" s="21"/>
      <c r="U43" s="21"/>
      <c r="V43" s="63" t="s">
        <v>102</v>
      </c>
      <c r="W43" s="16">
        <v>202500</v>
      </c>
      <c r="X43" s="16">
        <v>193589</v>
      </c>
      <c r="Y43" s="16">
        <v>367876</v>
      </c>
      <c r="Z43" s="16">
        <v>400000</v>
      </c>
      <c r="AA43" s="16">
        <v>840443</v>
      </c>
      <c r="AB43" s="16">
        <v>541587</v>
      </c>
      <c r="AC43" s="16">
        <v>541587</v>
      </c>
      <c r="AD43" s="16">
        <v>395761</v>
      </c>
      <c r="AE43" s="16">
        <v>840443</v>
      </c>
      <c r="AF43" s="16">
        <v>32079</v>
      </c>
      <c r="AG43" s="16">
        <v>1379257</v>
      </c>
      <c r="AH43" s="16">
        <f>AJ43</f>
        <v>1112008</v>
      </c>
      <c r="AI43" s="16">
        <v>1409257</v>
      </c>
      <c r="AJ43" s="16">
        <v>1112008</v>
      </c>
      <c r="AK43" s="16">
        <v>1409257</v>
      </c>
      <c r="AL43" s="16">
        <f>AM43</f>
        <v>607710</v>
      </c>
      <c r="AM43" s="16">
        <v>607710</v>
      </c>
      <c r="AN43" s="16">
        <v>233950</v>
      </c>
      <c r="AO43" s="16">
        <f>AN43</f>
        <v>233950</v>
      </c>
      <c r="AP43" s="16">
        <v>295000</v>
      </c>
      <c r="AQ43" s="16">
        <v>15000</v>
      </c>
      <c r="AR43" s="16">
        <v>423.26</v>
      </c>
      <c r="AT43" s="17"/>
      <c r="AX43" s="47">
        <v>6385.96</v>
      </c>
      <c r="AY43" s="47"/>
      <c r="AZ43" s="47"/>
      <c r="BA43" s="47"/>
      <c r="BB43" s="47"/>
    </row>
    <row r="44" spans="1:54" ht="14" hidden="1" x14ac:dyDescent="0.45">
      <c r="A44" s="60" t="s">
        <v>103</v>
      </c>
      <c r="B44" s="16"/>
      <c r="C44" s="16"/>
      <c r="D44" s="16"/>
      <c r="E44" s="12"/>
      <c r="F44" s="12"/>
      <c r="G44" s="12"/>
      <c r="H44" s="12"/>
      <c r="I44" s="12"/>
      <c r="J44" s="12"/>
      <c r="K44" s="12">
        <v>155945</v>
      </c>
      <c r="L44" s="12"/>
      <c r="M44" s="12"/>
      <c r="N44" s="12"/>
      <c r="O44" s="12"/>
      <c r="P44" s="12"/>
      <c r="Q44" s="12"/>
      <c r="R44" s="12"/>
      <c r="S44" s="21"/>
      <c r="T44" s="21"/>
      <c r="U44" s="21"/>
      <c r="V44" s="5" t="s">
        <v>104</v>
      </c>
      <c r="W44" s="56">
        <v>10145</v>
      </c>
      <c r="X44" s="64"/>
      <c r="Y44" s="56">
        <v>4000</v>
      </c>
      <c r="Z44" s="56">
        <v>10000</v>
      </c>
      <c r="AA44" s="56">
        <v>10000</v>
      </c>
      <c r="AB44" s="56">
        <v>10000</v>
      </c>
      <c r="AC44" s="56">
        <v>10000</v>
      </c>
      <c r="AD44" s="56">
        <v>10000</v>
      </c>
      <c r="AE44" s="56">
        <v>10000</v>
      </c>
      <c r="AF44" s="56">
        <v>23373</v>
      </c>
      <c r="AG44" s="56">
        <v>25700</v>
      </c>
      <c r="AH44" s="56">
        <f>AJ44</f>
        <v>25700</v>
      </c>
      <c r="AI44" s="56">
        <f>AJ44</f>
        <v>25700</v>
      </c>
      <c r="AJ44" s="56">
        <v>25700</v>
      </c>
      <c r="AK44" s="56">
        <f>AJ44</f>
        <v>25700</v>
      </c>
      <c r="AL44" s="16">
        <f>AM44</f>
        <v>40500</v>
      </c>
      <c r="AM44" s="16">
        <f>30000+10500</f>
        <v>40500</v>
      </c>
      <c r="AO44" s="16">
        <v>60580.23</v>
      </c>
      <c r="AP44" s="16">
        <v>0</v>
      </c>
      <c r="AQ44" s="65">
        <v>18107</v>
      </c>
      <c r="AT44" s="17"/>
    </row>
    <row r="45" spans="1:54" ht="14.35" thickBot="1" x14ac:dyDescent="0.5">
      <c r="A45" s="15" t="s">
        <v>105</v>
      </c>
      <c r="B45" s="16">
        <v>100443</v>
      </c>
      <c r="C45" s="16">
        <v>173730</v>
      </c>
      <c r="D45" s="16">
        <v>175000</v>
      </c>
      <c r="E45" s="12">
        <v>516460</v>
      </c>
      <c r="F45" s="12">
        <v>512688</v>
      </c>
      <c r="G45" s="12">
        <v>516460</v>
      </c>
      <c r="H45" s="12">
        <v>512688</v>
      </c>
      <c r="I45" s="12">
        <v>680080</v>
      </c>
      <c r="J45" s="12">
        <v>732849</v>
      </c>
      <c r="K45" s="12">
        <v>726968</v>
      </c>
      <c r="L45" s="12">
        <v>802490</v>
      </c>
      <c r="M45" s="12">
        <v>803485</v>
      </c>
      <c r="N45" s="12">
        <v>781319</v>
      </c>
      <c r="O45" s="12">
        <f>N45</f>
        <v>781319</v>
      </c>
      <c r="P45" s="12">
        <v>773045</v>
      </c>
      <c r="Q45" s="12">
        <v>770439</v>
      </c>
      <c r="R45" s="12" t="s">
        <v>101</v>
      </c>
      <c r="S45" s="21"/>
      <c r="T45" s="21"/>
      <c r="U45" s="21"/>
      <c r="V45" s="5" t="s">
        <v>106</v>
      </c>
      <c r="W45" s="66"/>
      <c r="X45" s="67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16"/>
      <c r="AM45" s="16"/>
      <c r="AO45" s="16"/>
      <c r="AP45" s="16"/>
      <c r="AQ45" s="65"/>
      <c r="AT45" s="17"/>
      <c r="AW45" s="16">
        <v>10000</v>
      </c>
      <c r="AX45" s="16">
        <v>0</v>
      </c>
      <c r="AY45" s="16"/>
      <c r="AZ45" s="16"/>
      <c r="BA45" s="16"/>
      <c r="BB45" s="16"/>
    </row>
    <row r="46" spans="1:54" ht="14.35" thickBot="1" x14ac:dyDescent="0.5">
      <c r="A46" s="15" t="s">
        <v>107</v>
      </c>
      <c r="B46" s="16"/>
      <c r="C46" s="16"/>
      <c r="D46" s="16"/>
      <c r="E46" s="12"/>
      <c r="F46" s="12"/>
      <c r="G46" s="12"/>
      <c r="H46" s="12"/>
      <c r="I46" s="12"/>
      <c r="J46" s="12"/>
      <c r="K46" s="12"/>
      <c r="L46" s="12">
        <v>62779</v>
      </c>
      <c r="M46" s="12">
        <v>62781</v>
      </c>
      <c r="N46" s="12">
        <v>62781</v>
      </c>
      <c r="O46" s="12">
        <f>N46</f>
        <v>62781</v>
      </c>
      <c r="P46" s="12">
        <v>62781</v>
      </c>
      <c r="Q46" s="12">
        <v>62781</v>
      </c>
      <c r="R46" s="12">
        <v>62781</v>
      </c>
      <c r="S46" s="12">
        <v>62781</v>
      </c>
      <c r="T46" s="12">
        <f>S46</f>
        <v>62781</v>
      </c>
      <c r="U46" s="25">
        <v>58468.13</v>
      </c>
      <c r="V46" s="63" t="s">
        <v>108</v>
      </c>
      <c r="W46" s="16">
        <v>18108</v>
      </c>
      <c r="X46" s="16">
        <v>18108</v>
      </c>
      <c r="Y46" s="16">
        <v>18108</v>
      </c>
      <c r="Z46" s="16">
        <f>AA46</f>
        <v>18108</v>
      </c>
      <c r="AA46" s="16">
        <v>18108</v>
      </c>
      <c r="AB46" s="16">
        <v>18108</v>
      </c>
      <c r="AC46" s="16">
        <v>18108</v>
      </c>
      <c r="AD46" s="16">
        <v>18108</v>
      </c>
      <c r="AE46" s="16">
        <v>18108</v>
      </c>
      <c r="AF46" s="16">
        <v>18108</v>
      </c>
      <c r="AG46" s="16">
        <v>18108</v>
      </c>
      <c r="AH46" s="16">
        <f>AJ46</f>
        <v>18108</v>
      </c>
      <c r="AI46" s="16">
        <f>AJ46</f>
        <v>18108</v>
      </c>
      <c r="AJ46" s="16">
        <v>18108</v>
      </c>
      <c r="AK46" s="16">
        <f>AJ46</f>
        <v>18108</v>
      </c>
      <c r="AL46" s="16">
        <f>AM46</f>
        <v>18108</v>
      </c>
      <c r="AM46" s="16">
        <v>18108</v>
      </c>
      <c r="AN46" s="65">
        <v>18108</v>
      </c>
      <c r="AO46" s="65">
        <f>AN46</f>
        <v>18108</v>
      </c>
      <c r="AP46" s="65">
        <v>0</v>
      </c>
      <c r="AQ46" s="16">
        <v>0</v>
      </c>
      <c r="AT46" s="17"/>
      <c r="AW46" s="16">
        <v>617.1</v>
      </c>
      <c r="AX46" s="16">
        <v>0</v>
      </c>
      <c r="AY46" s="16"/>
      <c r="AZ46" s="16"/>
      <c r="BA46" s="16">
        <v>3496.9</v>
      </c>
      <c r="BB46" s="16">
        <v>0</v>
      </c>
    </row>
    <row r="47" spans="1:54" ht="14" x14ac:dyDescent="0.45">
      <c r="A47" s="15" t="s">
        <v>109</v>
      </c>
      <c r="B47" s="16"/>
      <c r="C47" s="16"/>
      <c r="D47" s="16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>
        <v>31000</v>
      </c>
      <c r="R47" s="12">
        <v>32000</v>
      </c>
      <c r="S47" s="12">
        <f>31623-31623</f>
        <v>0</v>
      </c>
      <c r="T47" s="12"/>
      <c r="U47" s="12"/>
      <c r="V47" s="63" t="s">
        <v>110</v>
      </c>
      <c r="W47" s="68">
        <v>126933</v>
      </c>
      <c r="Z47" s="16">
        <v>321490</v>
      </c>
      <c r="AA47" s="16">
        <v>480956.62</v>
      </c>
      <c r="AB47" s="16"/>
      <c r="AC47" s="16"/>
      <c r="AD47" s="16"/>
      <c r="AE47" s="16">
        <v>480956.92</v>
      </c>
      <c r="AF47" s="16"/>
      <c r="AG47" s="16">
        <v>0</v>
      </c>
      <c r="AH47" s="16">
        <v>0</v>
      </c>
      <c r="AI47" s="16">
        <f>AJ47</f>
        <v>0</v>
      </c>
      <c r="AJ47" s="16">
        <v>0</v>
      </c>
      <c r="AK47" s="16">
        <f>AJ47</f>
        <v>0</v>
      </c>
      <c r="AL47" s="16">
        <v>219736.33</v>
      </c>
      <c r="AM47" s="16">
        <v>219736.33</v>
      </c>
      <c r="AN47" s="16">
        <v>0</v>
      </c>
      <c r="AO47" s="16">
        <f>AN47</f>
        <v>0</v>
      </c>
      <c r="AP47" s="16">
        <f>AO47</f>
        <v>0</v>
      </c>
      <c r="AT47" s="17"/>
      <c r="BA47" s="47">
        <f>200000+35000</f>
        <v>235000</v>
      </c>
      <c r="BB47" s="47">
        <v>200000</v>
      </c>
    </row>
    <row r="48" spans="1:54" ht="14" x14ac:dyDescent="0.45">
      <c r="A48" s="15" t="s">
        <v>111</v>
      </c>
      <c r="B48" s="16"/>
      <c r="C48" s="16"/>
      <c r="D48" s="16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>
        <v>617.1</v>
      </c>
      <c r="S48" s="12"/>
      <c r="T48" s="12">
        <v>29996.9</v>
      </c>
      <c r="U48" s="12">
        <v>29656</v>
      </c>
      <c r="V48" s="63" t="s">
        <v>112</v>
      </c>
      <c r="W48" s="68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T48" s="17"/>
      <c r="BA48" s="47">
        <v>26500</v>
      </c>
      <c r="BB48" s="47">
        <v>29000</v>
      </c>
    </row>
    <row r="49" spans="1:54" ht="14" x14ac:dyDescent="0.45">
      <c r="A49" s="15" t="s">
        <v>113</v>
      </c>
      <c r="B49" s="16"/>
      <c r="C49" s="16"/>
      <c r="D49" s="16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>
        <v>25000</v>
      </c>
      <c r="R49" s="12"/>
      <c r="S49" s="12"/>
      <c r="T49" s="12"/>
      <c r="U49" s="12"/>
      <c r="V49" s="63"/>
      <c r="W49" s="68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T49" s="17"/>
    </row>
    <row r="50" spans="1:54" ht="14" hidden="1" x14ac:dyDescent="0.45">
      <c r="A50" s="15" t="s">
        <v>114</v>
      </c>
      <c r="B50" s="16"/>
      <c r="C50" s="16"/>
      <c r="D50" s="16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>
        <v>3000</v>
      </c>
      <c r="Q50" s="12"/>
      <c r="R50" s="12"/>
      <c r="S50" s="12"/>
      <c r="T50" s="12"/>
      <c r="U50" s="12"/>
      <c r="V50" s="63"/>
      <c r="W50" s="1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O50" s="47">
        <v>35075</v>
      </c>
      <c r="AT50" s="17"/>
    </row>
    <row r="51" spans="1:54" ht="14" x14ac:dyDescent="0.45">
      <c r="A51" s="15" t="s">
        <v>115</v>
      </c>
      <c r="B51" s="16"/>
      <c r="C51" s="16"/>
      <c r="D51" s="16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>
        <v>44930.559999999998</v>
      </c>
      <c r="V51" s="63"/>
      <c r="W51" s="1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O51" s="47"/>
      <c r="AT51" s="17"/>
    </row>
    <row r="52" spans="1:54" ht="14" x14ac:dyDescent="0.45">
      <c r="A52" s="15" t="s">
        <v>116</v>
      </c>
      <c r="B52" s="16"/>
      <c r="C52" s="16"/>
      <c r="D52" s="16"/>
      <c r="E52" s="12"/>
      <c r="F52" s="12"/>
      <c r="G52" s="12"/>
      <c r="H52" s="12"/>
      <c r="I52" s="12"/>
      <c r="J52" s="12">
        <v>83755</v>
      </c>
      <c r="K52" s="12"/>
      <c r="L52" s="12"/>
      <c r="M52" s="12"/>
      <c r="N52" s="12"/>
      <c r="O52" s="12"/>
      <c r="P52" s="12">
        <v>9925</v>
      </c>
      <c r="Q52" s="12"/>
      <c r="R52" s="12"/>
      <c r="S52" s="12"/>
      <c r="T52" s="12"/>
      <c r="U52" s="12"/>
      <c r="V52" s="69" t="s">
        <v>117</v>
      </c>
      <c r="W52" s="1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7"/>
      <c r="AO52" s="47"/>
      <c r="AP52" s="47"/>
      <c r="AS52" s="16">
        <v>750000</v>
      </c>
      <c r="AT52" s="17">
        <f>AS52</f>
        <v>750000</v>
      </c>
    </row>
    <row r="53" spans="1:54" ht="14" x14ac:dyDescent="0.45">
      <c r="A53" s="29" t="s">
        <v>118</v>
      </c>
      <c r="B53" s="30">
        <f t="shared" ref="B53:I53" si="12">SUM(B30:B45)</f>
        <v>295443</v>
      </c>
      <c r="C53" s="30">
        <f t="shared" si="12"/>
        <v>274111</v>
      </c>
      <c r="D53" s="30">
        <f t="shared" si="12"/>
        <v>238412.37</v>
      </c>
      <c r="E53" s="30">
        <f t="shared" si="12"/>
        <v>3751313.52</v>
      </c>
      <c r="F53" s="30">
        <f t="shared" si="12"/>
        <v>802626</v>
      </c>
      <c r="G53" s="30">
        <f t="shared" si="12"/>
        <v>3751313.52</v>
      </c>
      <c r="H53" s="30">
        <f t="shared" si="12"/>
        <v>3029136.6</v>
      </c>
      <c r="I53" s="30">
        <f t="shared" si="12"/>
        <v>2919582</v>
      </c>
      <c r="J53" s="30">
        <f t="shared" ref="J53:U53" si="13">SUM(J30:J52)</f>
        <v>2197802.83</v>
      </c>
      <c r="K53" s="30">
        <f t="shared" si="13"/>
        <v>1575552.7000000002</v>
      </c>
      <c r="L53" s="30">
        <f t="shared" si="13"/>
        <v>2040919</v>
      </c>
      <c r="M53" s="30">
        <f t="shared" si="13"/>
        <v>1900162</v>
      </c>
      <c r="N53" s="30">
        <f t="shared" si="13"/>
        <v>2354009</v>
      </c>
      <c r="O53" s="30">
        <f t="shared" si="13"/>
        <v>2354009</v>
      </c>
      <c r="P53" s="30">
        <f t="shared" si="13"/>
        <v>1884480.25</v>
      </c>
      <c r="Q53" s="30">
        <f t="shared" si="13"/>
        <v>4996573.26</v>
      </c>
      <c r="R53" s="30">
        <f t="shared" si="13"/>
        <v>1703266.7400000002</v>
      </c>
      <c r="S53" s="30">
        <f t="shared" si="13"/>
        <v>867430.95</v>
      </c>
      <c r="T53" s="30">
        <f t="shared" si="13"/>
        <v>1347928.5499999998</v>
      </c>
      <c r="U53" s="30">
        <f t="shared" si="13"/>
        <v>1741466.72</v>
      </c>
      <c r="V53" s="69" t="s">
        <v>119</v>
      </c>
      <c r="W53" s="70"/>
      <c r="AA53" s="46"/>
      <c r="AB53" s="46"/>
      <c r="AC53" s="46"/>
      <c r="AD53" s="46"/>
      <c r="AE53" s="46"/>
      <c r="AF53" s="16">
        <v>741000</v>
      </c>
      <c r="AG53" s="16">
        <v>0</v>
      </c>
      <c r="AH53" s="16">
        <v>0</v>
      </c>
      <c r="AI53" s="16">
        <f>AJ53</f>
        <v>0</v>
      </c>
      <c r="AJ53" s="16">
        <v>0</v>
      </c>
      <c r="AK53" s="16">
        <f>AJ53</f>
        <v>0</v>
      </c>
      <c r="AL53" s="16"/>
      <c r="AM53" s="16"/>
      <c r="AO53" s="51"/>
      <c r="AT53" s="17"/>
    </row>
    <row r="54" spans="1:54" ht="14" x14ac:dyDescent="0.45">
      <c r="A54" s="62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69" t="s">
        <v>120</v>
      </c>
      <c r="W54" s="70"/>
      <c r="AA54" s="46"/>
      <c r="AB54" s="46"/>
      <c r="AC54" s="46"/>
      <c r="AD54" s="46"/>
      <c r="AE54" s="46"/>
      <c r="AF54" s="16"/>
      <c r="AG54" s="16"/>
      <c r="AH54" s="16"/>
      <c r="AI54" s="16"/>
      <c r="AJ54" s="16"/>
      <c r="AK54" s="16"/>
      <c r="AL54" s="16"/>
      <c r="AM54" s="16"/>
      <c r="AO54" s="51"/>
      <c r="AT54" s="17"/>
      <c r="AZ54" s="16">
        <v>100000</v>
      </c>
      <c r="BA54" s="16">
        <v>100000</v>
      </c>
      <c r="BB54" s="16">
        <v>100000</v>
      </c>
    </row>
    <row r="55" spans="1:54" ht="14" hidden="1" x14ac:dyDescent="0.45">
      <c r="A55" s="29"/>
      <c r="B55" s="58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69"/>
      <c r="W55" s="70"/>
      <c r="AA55" s="46"/>
      <c r="AB55" s="46"/>
      <c r="AC55" s="46"/>
      <c r="AD55" s="46"/>
      <c r="AE55" s="46"/>
      <c r="AF55" s="16"/>
      <c r="AG55" s="16"/>
      <c r="AH55" s="16"/>
      <c r="AI55" s="16"/>
      <c r="AJ55" s="16"/>
      <c r="AK55" s="16"/>
      <c r="AL55" s="16"/>
      <c r="AM55" s="16"/>
      <c r="AN55" s="53">
        <v>27500</v>
      </c>
      <c r="AO55" s="47">
        <f>AN55</f>
        <v>27500</v>
      </c>
      <c r="AP55" s="47"/>
      <c r="AT55" s="17"/>
    </row>
    <row r="56" spans="1:54" ht="14" x14ac:dyDescent="0.45">
      <c r="A56" s="29"/>
      <c r="B56" s="58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69" t="s">
        <v>121</v>
      </c>
      <c r="W56" s="70"/>
      <c r="AA56" s="46"/>
      <c r="AB56" s="46"/>
      <c r="AC56" s="46"/>
      <c r="AD56" s="46"/>
      <c r="AE56" s="46"/>
      <c r="AF56" s="16"/>
      <c r="AG56" s="16"/>
      <c r="AH56" s="16"/>
      <c r="AI56" s="16"/>
      <c r="AJ56" s="16"/>
      <c r="AK56" s="16"/>
      <c r="AL56" s="16"/>
      <c r="AM56" s="16"/>
      <c r="AN56" s="53"/>
      <c r="AO56" s="47"/>
      <c r="AP56" s="47"/>
      <c r="AT56" s="17"/>
      <c r="BB56" s="16">
        <v>656</v>
      </c>
    </row>
    <row r="57" spans="1:54" ht="14" x14ac:dyDescent="0.45">
      <c r="A57" s="29"/>
      <c r="B57" s="58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69" t="s">
        <v>122</v>
      </c>
      <c r="W57" s="70"/>
      <c r="AA57" s="46"/>
      <c r="AB57" s="46"/>
      <c r="AC57" s="46"/>
      <c r="AD57" s="46"/>
      <c r="AE57" s="46"/>
      <c r="AF57" s="16"/>
      <c r="AG57" s="16"/>
      <c r="AH57" s="16"/>
      <c r="AI57" s="16"/>
      <c r="AJ57" s="16"/>
      <c r="AK57" s="16"/>
      <c r="AL57" s="16"/>
      <c r="AM57" s="16"/>
      <c r="AN57" s="53"/>
      <c r="AO57" s="47"/>
      <c r="AP57" s="47"/>
      <c r="AT57" s="17"/>
      <c r="BB57" s="16">
        <v>0</v>
      </c>
    </row>
    <row r="58" spans="1:54" ht="14" x14ac:dyDescent="0.45">
      <c r="A58" s="29"/>
      <c r="B58" s="58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5" t="s">
        <v>123</v>
      </c>
      <c r="W58" s="45"/>
      <c r="X58" s="16">
        <v>829.18</v>
      </c>
      <c r="Y58" s="16"/>
      <c r="Z58" s="16"/>
      <c r="AA58" s="46"/>
      <c r="AB58" s="46"/>
      <c r="AC58" s="46"/>
      <c r="AD58" s="46"/>
      <c r="AE58" s="46"/>
      <c r="AF58" s="46"/>
      <c r="AG58" s="46">
        <v>0</v>
      </c>
      <c r="AH58" s="16">
        <v>0</v>
      </c>
      <c r="AI58" s="16">
        <f>AJ58</f>
        <v>0</v>
      </c>
      <c r="AJ58" s="16"/>
      <c r="AK58" s="16">
        <v>0</v>
      </c>
      <c r="AL58" s="16"/>
      <c r="AM58" s="16"/>
      <c r="AQ58" s="47">
        <v>51100.02</v>
      </c>
      <c r="AT58" s="17"/>
      <c r="AV58" s="16">
        <v>624000</v>
      </c>
      <c r="AW58" s="16"/>
      <c r="AX58" s="16"/>
      <c r="AY58" s="16"/>
      <c r="AZ58" s="16"/>
      <c r="BA58" s="16"/>
      <c r="BB58" s="16"/>
    </row>
    <row r="59" spans="1:54" ht="14" x14ac:dyDescent="0.45">
      <c r="A59" s="71" t="s">
        <v>124</v>
      </c>
      <c r="B59" s="45">
        <v>0</v>
      </c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5" t="s">
        <v>125</v>
      </c>
      <c r="W59" s="16">
        <v>0</v>
      </c>
      <c r="X59" s="16">
        <v>79647.91</v>
      </c>
      <c r="Y59" s="16"/>
      <c r="Z59" s="16"/>
      <c r="AA59" s="16"/>
      <c r="AB59" s="16">
        <v>84510.96</v>
      </c>
      <c r="AC59" s="16">
        <v>84510.96</v>
      </c>
      <c r="AD59" s="16">
        <v>84510.96</v>
      </c>
      <c r="AE59" s="16"/>
      <c r="AF59" s="16">
        <v>42880.13</v>
      </c>
      <c r="AG59" s="16">
        <v>0</v>
      </c>
      <c r="AH59" s="16">
        <v>0</v>
      </c>
      <c r="AI59" s="16">
        <f>AJ59</f>
        <v>0</v>
      </c>
      <c r="AJ59" s="16">
        <v>0</v>
      </c>
      <c r="AK59" s="16">
        <f>AJ59</f>
        <v>0</v>
      </c>
      <c r="AL59" s="16"/>
      <c r="AM59" s="16"/>
      <c r="AQ59" s="51"/>
      <c r="AT59" s="17"/>
      <c r="AV59" s="16">
        <v>2200000</v>
      </c>
      <c r="AW59" s="16"/>
      <c r="AX59" s="16"/>
      <c r="AY59" s="16"/>
      <c r="AZ59" s="16"/>
      <c r="BA59" s="16"/>
      <c r="BB59" s="16"/>
    </row>
    <row r="60" spans="1:54" ht="14" hidden="1" x14ac:dyDescent="0.45">
      <c r="A60" s="15" t="s">
        <v>126</v>
      </c>
      <c r="B60" s="16">
        <v>65281</v>
      </c>
      <c r="C60" s="16">
        <v>66837</v>
      </c>
      <c r="D60" s="16">
        <v>0</v>
      </c>
      <c r="E60" s="12">
        <v>0</v>
      </c>
      <c r="F60" s="12">
        <v>0</v>
      </c>
      <c r="G60" s="12"/>
      <c r="H60" s="12">
        <v>0</v>
      </c>
      <c r="I60" s="12">
        <v>0</v>
      </c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5" t="s">
        <v>127</v>
      </c>
      <c r="W60" s="72"/>
      <c r="X60" s="56">
        <v>22495.14</v>
      </c>
      <c r="Y60" s="56"/>
      <c r="Z60" s="56"/>
      <c r="AA60" s="73"/>
      <c r="AB60" s="73"/>
      <c r="AC60" s="73"/>
      <c r="AD60" s="73"/>
      <c r="AE60" s="73"/>
      <c r="AF60" s="73"/>
      <c r="AG60" s="73">
        <v>75000</v>
      </c>
      <c r="AH60" s="16">
        <v>75000</v>
      </c>
      <c r="AI60" s="16">
        <f>AH60</f>
        <v>75000</v>
      </c>
      <c r="AJ60" s="16">
        <v>150000</v>
      </c>
      <c r="AK60" s="16">
        <f>AJ60</f>
        <v>150000</v>
      </c>
      <c r="AL60" s="16"/>
      <c r="AM60" s="16"/>
      <c r="AQ60" s="47">
        <v>143591.49</v>
      </c>
      <c r="AT60" s="17"/>
      <c r="AW60" s="16"/>
      <c r="AX60" s="16"/>
      <c r="AY60" s="16"/>
      <c r="AZ60" s="16"/>
      <c r="BA60" s="16"/>
      <c r="BB60" s="16"/>
    </row>
    <row r="61" spans="1:54" ht="14" x14ac:dyDescent="0.45">
      <c r="A61" s="15" t="s">
        <v>128</v>
      </c>
      <c r="B61" s="16"/>
      <c r="C61" s="12">
        <v>10872</v>
      </c>
      <c r="D61" s="12">
        <v>10872</v>
      </c>
      <c r="E61" s="12">
        <v>10872</v>
      </c>
      <c r="F61" s="12">
        <v>10872</v>
      </c>
      <c r="G61" s="12">
        <v>10872</v>
      </c>
      <c r="H61" s="12">
        <v>10872</v>
      </c>
      <c r="I61" s="12">
        <v>10872</v>
      </c>
      <c r="J61" s="12">
        <v>10872</v>
      </c>
      <c r="K61" s="12">
        <v>10872</v>
      </c>
      <c r="L61" s="12">
        <f>K61</f>
        <v>10872</v>
      </c>
      <c r="M61" s="12">
        <v>10872</v>
      </c>
      <c r="N61" s="12">
        <v>10872</v>
      </c>
      <c r="O61" s="12">
        <f>N61</f>
        <v>10872</v>
      </c>
      <c r="P61" s="12">
        <v>10872</v>
      </c>
      <c r="Q61" s="12">
        <v>10868</v>
      </c>
      <c r="R61" s="12">
        <v>10868</v>
      </c>
      <c r="S61" s="12">
        <v>10868</v>
      </c>
      <c r="T61" s="12">
        <f>S61</f>
        <v>10868</v>
      </c>
      <c r="U61" s="12">
        <v>10868</v>
      </c>
      <c r="V61" s="5" t="s">
        <v>129</v>
      </c>
      <c r="W61" s="16"/>
      <c r="AA61" s="46"/>
      <c r="AB61" s="46"/>
      <c r="AC61" s="46"/>
      <c r="AD61" s="46"/>
      <c r="AE61" s="46"/>
      <c r="AF61" s="46"/>
      <c r="AG61" s="46"/>
      <c r="AH61" s="46"/>
      <c r="AI61" s="46"/>
      <c r="AJ61" s="46"/>
      <c r="AK61" s="46"/>
      <c r="AL61" s="46"/>
      <c r="AM61" s="46"/>
      <c r="AQ61" s="47">
        <v>109000</v>
      </c>
      <c r="AR61" s="47">
        <v>5606.98</v>
      </c>
      <c r="AT61" s="17"/>
      <c r="AV61" s="16">
        <v>570</v>
      </c>
      <c r="AW61" s="16">
        <v>1782</v>
      </c>
      <c r="AX61" s="16">
        <v>0</v>
      </c>
      <c r="AY61" s="16"/>
      <c r="AZ61" s="16"/>
      <c r="BA61" s="16">
        <v>21410.959999999999</v>
      </c>
      <c r="BB61" s="16"/>
    </row>
    <row r="62" spans="1:54" ht="14" hidden="1" x14ac:dyDescent="0.45">
      <c r="A62" s="15"/>
      <c r="B62" s="16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5" t="s">
        <v>130</v>
      </c>
      <c r="W62" s="16"/>
      <c r="AA62" s="46"/>
      <c r="AB62" s="46"/>
      <c r="AC62" s="46"/>
      <c r="AD62" s="46"/>
      <c r="AE62" s="46"/>
      <c r="AF62" s="46"/>
      <c r="AG62" s="46"/>
      <c r="AH62" s="46"/>
      <c r="AI62" s="46"/>
      <c r="AJ62" s="46"/>
      <c r="AK62" s="46"/>
      <c r="AL62" s="46"/>
      <c r="AM62" s="46"/>
      <c r="AR62" s="47">
        <v>8264.9699999999993</v>
      </c>
      <c r="AT62" s="17"/>
    </row>
    <row r="63" spans="1:54" ht="14" hidden="1" x14ac:dyDescent="0.45">
      <c r="A63" s="15"/>
      <c r="B63" s="16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5" t="s">
        <v>131</v>
      </c>
      <c r="W63" s="45"/>
      <c r="Y63" s="16">
        <v>54</v>
      </c>
      <c r="Z63" s="16"/>
      <c r="AA63" s="16">
        <v>215.38</v>
      </c>
      <c r="AB63" s="16"/>
      <c r="AC63" s="16"/>
      <c r="AD63" s="16"/>
      <c r="AE63" s="16">
        <v>215.38</v>
      </c>
      <c r="AF63" s="16">
        <v>6506.41</v>
      </c>
      <c r="AG63" s="16">
        <v>0</v>
      </c>
      <c r="AH63" s="16">
        <f t="shared" ref="AH63:AH71" si="14">AJ63</f>
        <v>0</v>
      </c>
      <c r="AI63" s="16">
        <f t="shared" ref="AI63:AI71" si="15">AJ63</f>
        <v>0</v>
      </c>
      <c r="AJ63" s="16">
        <v>0</v>
      </c>
      <c r="AK63" s="16">
        <f t="shared" ref="AK63:AK71" si="16">AJ63</f>
        <v>0</v>
      </c>
      <c r="AL63" s="16">
        <v>5323</v>
      </c>
      <c r="AM63" s="16">
        <v>5323</v>
      </c>
      <c r="AT63" s="17"/>
    </row>
    <row r="64" spans="1:54" ht="14" hidden="1" x14ac:dyDescent="0.45">
      <c r="A64" s="15"/>
      <c r="B64" s="16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5" t="s">
        <v>132</v>
      </c>
      <c r="W64" s="45"/>
      <c r="Z64" s="16"/>
      <c r="AA64" s="16">
        <v>1565000</v>
      </c>
      <c r="AB64" s="16"/>
      <c r="AC64" s="16"/>
      <c r="AD64" s="16"/>
      <c r="AE64" s="16">
        <v>1565000</v>
      </c>
      <c r="AF64" s="16"/>
      <c r="AG64" s="16">
        <v>0</v>
      </c>
      <c r="AH64" s="16">
        <f t="shared" si="14"/>
        <v>0</v>
      </c>
      <c r="AI64" s="16">
        <f t="shared" si="15"/>
        <v>0</v>
      </c>
      <c r="AJ64" s="16">
        <v>0</v>
      </c>
      <c r="AK64" s="16">
        <f t="shared" si="16"/>
        <v>0</v>
      </c>
      <c r="AL64" s="16">
        <v>5441</v>
      </c>
      <c r="AM64" s="16">
        <v>5441</v>
      </c>
      <c r="AT64" s="17"/>
    </row>
    <row r="65" spans="1:57" ht="14" hidden="1" x14ac:dyDescent="0.45">
      <c r="A65" s="15"/>
      <c r="B65" s="16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5" t="s">
        <v>133</v>
      </c>
      <c r="W65" s="45"/>
      <c r="Z65" s="16"/>
      <c r="AA65" s="16">
        <v>195000</v>
      </c>
      <c r="AB65" s="16"/>
      <c r="AC65" s="16"/>
      <c r="AD65" s="16"/>
      <c r="AE65" s="16">
        <v>195000</v>
      </c>
      <c r="AF65" s="16"/>
      <c r="AG65" s="16">
        <v>0</v>
      </c>
      <c r="AH65" s="16">
        <f t="shared" si="14"/>
        <v>0</v>
      </c>
      <c r="AI65" s="16">
        <f t="shared" si="15"/>
        <v>0</v>
      </c>
      <c r="AJ65" s="16">
        <v>0</v>
      </c>
      <c r="AK65" s="16">
        <f t="shared" si="16"/>
        <v>0</v>
      </c>
      <c r="AL65" s="16"/>
      <c r="AM65" s="16"/>
      <c r="AN65" t="s">
        <v>134</v>
      </c>
      <c r="AT65" s="17"/>
    </row>
    <row r="66" spans="1:57" ht="14" x14ac:dyDescent="0.45">
      <c r="A66" s="15"/>
      <c r="B66" s="16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5" t="s">
        <v>127</v>
      </c>
      <c r="W66" s="45"/>
      <c r="Z66" s="16"/>
      <c r="AA66" s="16">
        <v>784.52</v>
      </c>
      <c r="AB66" s="16"/>
      <c r="AC66" s="16"/>
      <c r="AD66" s="16"/>
      <c r="AE66" s="16">
        <v>784.52</v>
      </c>
      <c r="AF66" s="16"/>
      <c r="AG66" s="16">
        <v>0</v>
      </c>
      <c r="AH66" s="16">
        <f t="shared" si="14"/>
        <v>0</v>
      </c>
      <c r="AI66" s="16">
        <f t="shared" si="15"/>
        <v>0</v>
      </c>
      <c r="AJ66" s="16">
        <v>0</v>
      </c>
      <c r="AK66" s="16">
        <f t="shared" si="16"/>
        <v>0</v>
      </c>
      <c r="AL66" s="16"/>
      <c r="AM66" s="16"/>
      <c r="AT66" s="61"/>
      <c r="AU66" s="16">
        <v>286958</v>
      </c>
      <c r="AV66" s="16">
        <v>74729</v>
      </c>
      <c r="AW66" s="16">
        <v>105367</v>
      </c>
      <c r="AX66" s="16">
        <v>99851</v>
      </c>
      <c r="AY66" s="16">
        <v>300000</v>
      </c>
      <c r="AZ66" s="16">
        <v>266683</v>
      </c>
      <c r="BA66" s="16">
        <v>84523</v>
      </c>
      <c r="BB66" s="16">
        <v>87000</v>
      </c>
    </row>
    <row r="67" spans="1:57" ht="14" hidden="1" x14ac:dyDescent="0.45">
      <c r="A67" s="15"/>
      <c r="B67" s="16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5" t="s">
        <v>135</v>
      </c>
      <c r="W67" s="45"/>
      <c r="Z67" s="16"/>
      <c r="AA67" s="16">
        <v>21246.1</v>
      </c>
      <c r="AB67" s="16"/>
      <c r="AC67" s="16"/>
      <c r="AD67" s="16"/>
      <c r="AE67" s="16">
        <v>21246.1</v>
      </c>
      <c r="AF67" s="16"/>
      <c r="AG67" s="16">
        <v>0</v>
      </c>
      <c r="AH67" s="16">
        <f t="shared" si="14"/>
        <v>0</v>
      </c>
      <c r="AI67" s="16">
        <f t="shared" si="15"/>
        <v>0</v>
      </c>
      <c r="AJ67" s="16">
        <v>0</v>
      </c>
      <c r="AK67" s="16">
        <f t="shared" si="16"/>
        <v>0</v>
      </c>
      <c r="AL67" s="16"/>
      <c r="AM67" s="16"/>
      <c r="AT67" s="17"/>
    </row>
    <row r="68" spans="1:57" ht="14" x14ac:dyDescent="0.45">
      <c r="A68" s="15"/>
      <c r="B68" s="16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5"/>
      <c r="W68" s="45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T68" s="17"/>
    </row>
    <row r="69" spans="1:57" ht="14" x14ac:dyDescent="0.45">
      <c r="A69" s="15" t="s">
        <v>136</v>
      </c>
      <c r="B69" s="16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>
        <v>25000</v>
      </c>
      <c r="T69" s="12">
        <v>25000</v>
      </c>
      <c r="U69" s="12">
        <v>25000</v>
      </c>
      <c r="V69" s="5" t="s">
        <v>137</v>
      </c>
      <c r="W69" s="45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T69" s="17"/>
      <c r="AX69" s="47">
        <v>25000</v>
      </c>
      <c r="BA69" s="16">
        <v>25000</v>
      </c>
      <c r="BB69" s="47">
        <v>25000</v>
      </c>
    </row>
    <row r="70" spans="1:57" ht="14.35" thickBot="1" x14ac:dyDescent="0.5">
      <c r="A70" s="15" t="s">
        <v>138</v>
      </c>
      <c r="B70" s="16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>
        <v>275000</v>
      </c>
      <c r="T70" s="12">
        <v>292000</v>
      </c>
      <c r="U70" s="12">
        <v>292000</v>
      </c>
      <c r="V70" s="5" t="s">
        <v>139</v>
      </c>
      <c r="W70" s="45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T70" s="17"/>
      <c r="AX70" s="47">
        <v>275000</v>
      </c>
      <c r="BA70" s="16">
        <v>292000</v>
      </c>
      <c r="BB70" s="47">
        <v>292000</v>
      </c>
    </row>
    <row r="71" spans="1:57" ht="14.35" thickBot="1" x14ac:dyDescent="0.5">
      <c r="A71" s="15" t="s">
        <v>140</v>
      </c>
      <c r="B71" s="16"/>
      <c r="C71" s="12"/>
      <c r="D71" s="12"/>
      <c r="E71" s="12"/>
      <c r="F71" s="12"/>
      <c r="G71" s="12"/>
      <c r="H71" s="12"/>
      <c r="I71" s="12"/>
      <c r="J71" s="12">
        <v>852705</v>
      </c>
      <c r="K71" s="34">
        <v>814352.54</v>
      </c>
      <c r="L71" s="22">
        <v>939495.26</v>
      </c>
      <c r="M71" s="22">
        <v>850032.4</v>
      </c>
      <c r="N71" s="22">
        <f>5000+285000+643726</f>
        <v>933726</v>
      </c>
      <c r="O71" s="22">
        <f>N71</f>
        <v>933726</v>
      </c>
      <c r="P71" s="22">
        <v>1017613</v>
      </c>
      <c r="Q71" s="22">
        <f>285000+25000+814242</f>
        <v>1124242</v>
      </c>
      <c r="R71" s="22">
        <v>1895227.01</v>
      </c>
      <c r="S71" s="22">
        <f>912291.76+736242</f>
        <v>1648533.76</v>
      </c>
      <c r="T71" s="22">
        <f>843548.24+68423+745251</f>
        <v>1657222.24</v>
      </c>
      <c r="U71" s="25">
        <f>862171+70464+812905.58</f>
        <v>1745540.58</v>
      </c>
      <c r="V71" s="5" t="s">
        <v>100</v>
      </c>
      <c r="W71" s="45"/>
      <c r="Z71" s="16"/>
      <c r="AA71" s="16"/>
      <c r="AB71" s="16"/>
      <c r="AC71" s="16"/>
      <c r="AD71" s="16"/>
      <c r="AE71" s="16"/>
      <c r="AF71" s="16"/>
      <c r="AG71" s="16"/>
      <c r="AH71" s="16">
        <f t="shared" si="14"/>
        <v>11686.12</v>
      </c>
      <c r="AI71" s="16">
        <f t="shared" si="15"/>
        <v>11686.12</v>
      </c>
      <c r="AJ71" s="16">
        <v>11686.12</v>
      </c>
      <c r="AK71" s="16">
        <f t="shared" si="16"/>
        <v>11686.12</v>
      </c>
      <c r="AL71" s="16"/>
      <c r="AM71" s="16" t="s">
        <v>134</v>
      </c>
      <c r="AN71" s="53">
        <v>115161.48</v>
      </c>
      <c r="AO71" s="47">
        <f>AN71</f>
        <v>115161.48</v>
      </c>
      <c r="AP71" s="47"/>
      <c r="AQ71" s="47">
        <v>939495.26</v>
      </c>
      <c r="AR71" s="47">
        <v>850032.4</v>
      </c>
      <c r="AS71" s="47">
        <v>933726</v>
      </c>
      <c r="AT71" s="17">
        <v>933726</v>
      </c>
      <c r="AU71" s="47">
        <v>1017613</v>
      </c>
      <c r="AV71" s="47">
        <f>285000+25000+814242</f>
        <v>1124242</v>
      </c>
      <c r="AW71" s="47">
        <f>810317.13+265000+25000</f>
        <v>1100317.1299999999</v>
      </c>
      <c r="AX71" s="47">
        <f>736242</f>
        <v>736242</v>
      </c>
      <c r="AY71" s="47">
        <v>0</v>
      </c>
      <c r="AZ71" s="47">
        <v>0</v>
      </c>
      <c r="BA71" s="47">
        <v>745251</v>
      </c>
      <c r="BB71" s="47">
        <v>862171</v>
      </c>
    </row>
    <row r="72" spans="1:57" ht="14" x14ac:dyDescent="0.45">
      <c r="A72" s="15"/>
      <c r="B72" s="16"/>
      <c r="C72" s="12"/>
      <c r="D72" s="12"/>
      <c r="E72" s="12"/>
      <c r="F72" s="12"/>
      <c r="G72" s="12"/>
      <c r="H72" s="12"/>
      <c r="I72" s="12"/>
      <c r="J72" s="1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5"/>
      <c r="W72" s="45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>
        <v>852705</v>
      </c>
      <c r="AO72" s="47">
        <v>814352.54</v>
      </c>
      <c r="AT72" s="17"/>
    </row>
    <row r="73" spans="1:57" ht="14" x14ac:dyDescent="0.45">
      <c r="A73" s="74" t="s">
        <v>141</v>
      </c>
      <c r="B73" s="75">
        <f>SUM(B60+B53+B27+B19+B11)</f>
        <v>18910016</v>
      </c>
      <c r="C73" s="75" t="e">
        <f>SUM(C60+C53+C27+C19+C11+#REF!+C61)</f>
        <v>#REF!</v>
      </c>
      <c r="D73" s="75" t="e">
        <f>SUM(D60+D53+D27+D19+D11+#REF!+D61)</f>
        <v>#REF!</v>
      </c>
      <c r="E73" s="75" t="e">
        <f>SUM(E60+E53+E27+E19+E11+#REF!+E61)</f>
        <v>#REF!</v>
      </c>
      <c r="F73" s="75" t="e">
        <f>SUM(F60+F53+F27+F19+F11+#REF!+F61)</f>
        <v>#REF!</v>
      </c>
      <c r="G73" s="75" t="e">
        <f>SUM(G60+G53+G27+G19+G11+#REF!+G61)</f>
        <v>#REF!</v>
      </c>
      <c r="H73" s="75" t="e">
        <f>SUM(H60+H53+H27+H19+H11+#REF!+H61)</f>
        <v>#REF!</v>
      </c>
      <c r="I73" s="75" t="e">
        <f>SUM(I60+I53+I27+I19+I11+#REF!+I61)</f>
        <v>#REF!</v>
      </c>
      <c r="J73" s="75" t="e">
        <f>SUM(J60+J53+J27+J19+J11+#REF!+J61+J71+J20+J21)</f>
        <v>#REF!</v>
      </c>
      <c r="K73" s="75" t="e">
        <f>SUM(K60+K53+K27+K19+K11+#REF!+K61+K71+K20+K21)</f>
        <v>#REF!</v>
      </c>
      <c r="L73" s="75">
        <f t="shared" ref="L73:R73" si="17">SUM(L60+L53+L27+L19+L11+L61+L71+L20+L21)</f>
        <v>29413082.740000002</v>
      </c>
      <c r="M73" s="75">
        <f t="shared" si="17"/>
        <v>30070200.399999999</v>
      </c>
      <c r="N73" s="75">
        <f t="shared" si="17"/>
        <v>32016829.57</v>
      </c>
      <c r="O73" s="75">
        <f t="shared" si="17"/>
        <v>34216829.57</v>
      </c>
      <c r="P73" s="75">
        <f t="shared" si="17"/>
        <v>32521412.850000001</v>
      </c>
      <c r="Q73" s="75">
        <f t="shared" si="17"/>
        <v>36826117.390000001</v>
      </c>
      <c r="R73" s="75">
        <f t="shared" si="17"/>
        <v>37343864.519999996</v>
      </c>
      <c r="S73" s="75">
        <f>SUM(S60+S53+S27+S19+S11+S61+S71+S20+S21)+S69+S70</f>
        <v>38447724.600000001</v>
      </c>
      <c r="T73" s="75">
        <f>SUM(T60+T53+T27+T19+T11+T61+T71+T20+T21)+T70+T69</f>
        <v>41020526.800000004</v>
      </c>
      <c r="U73" s="75">
        <f>SUM(U60+U53+U27+U19+U11+U61+U71+U20+U21+U70+U69)</f>
        <v>42687085.839999996</v>
      </c>
      <c r="V73" s="76" t="s">
        <v>142</v>
      </c>
      <c r="W73" s="45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Q73" s="77" t="e">
        <f>SUM(AQ34:AQ71)+AQ19+AQ31+AQ21</f>
        <v>#REF!</v>
      </c>
      <c r="AR73" s="77">
        <f>SUM(AR34:AR71)+AR19+AR31+AR21</f>
        <v>29980200.399999999</v>
      </c>
      <c r="AS73" s="77">
        <f>SUM(AS34:AS71)+AS19+AS31+AS21</f>
        <v>32016829.57</v>
      </c>
      <c r="AT73" s="77">
        <f>SUM(AT34:AT71)+AT19+AT31+AT21</f>
        <v>33736454.57</v>
      </c>
      <c r="AU73" s="77">
        <f t="shared" ref="AU73:BB73" si="18">SUM(AU34:AU71)+AU19+AU31+AU23</f>
        <v>32521412.850000001</v>
      </c>
      <c r="AV73" s="77">
        <f t="shared" si="18"/>
        <v>36826117.390000001</v>
      </c>
      <c r="AW73" s="77">
        <f t="shared" si="18"/>
        <v>37343864.520000003</v>
      </c>
      <c r="AX73" s="77">
        <f t="shared" si="18"/>
        <v>38447724.600000001</v>
      </c>
      <c r="AY73" s="77">
        <f t="shared" si="18"/>
        <v>39297600.870000005</v>
      </c>
      <c r="AZ73" s="77">
        <f t="shared" si="18"/>
        <v>40332238.75</v>
      </c>
      <c r="BA73" s="77">
        <f>SUM(BA34:BA71)+BA19+BA31+BA23</f>
        <v>41020526.799999997</v>
      </c>
      <c r="BB73" s="77">
        <f t="shared" si="18"/>
        <v>42687085.839999996</v>
      </c>
      <c r="BC73" s="39"/>
      <c r="BD73" s="27"/>
    </row>
    <row r="74" spans="1:57" ht="13.7" x14ac:dyDescent="0.4">
      <c r="A74" s="78"/>
      <c r="B74" s="78"/>
      <c r="C74" s="79"/>
      <c r="D74" s="79"/>
      <c r="E74" s="79"/>
      <c r="F74" s="79"/>
      <c r="G74" s="79"/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8"/>
      <c r="W74" s="77" t="e">
        <f>SUM(W35:W60)+W20+W32</f>
        <v>#REF!</v>
      </c>
      <c r="X74" s="77" t="e">
        <f>SUM(X35:X60)+X20+X32</f>
        <v>#REF!</v>
      </c>
      <c r="Y74" s="77" t="e">
        <f>SUM(Y35:Y63)+Y20+Y32</f>
        <v>#REF!</v>
      </c>
      <c r="Z74" s="77" t="e">
        <f>SUM(Z35:Z64)+Z20+Z32</f>
        <v>#REF!</v>
      </c>
      <c r="AA74" s="77" t="e">
        <f t="shared" ref="AA74:AI74" si="19">SUM(AA35:AA67)+AA20+AA32</f>
        <v>#REF!</v>
      </c>
      <c r="AB74" s="77" t="e">
        <f t="shared" si="19"/>
        <v>#REF!</v>
      </c>
      <c r="AC74" s="77" t="e">
        <f t="shared" si="19"/>
        <v>#REF!</v>
      </c>
      <c r="AD74" s="77" t="e">
        <f t="shared" si="19"/>
        <v>#REF!</v>
      </c>
      <c r="AE74" s="77">
        <f t="shared" ca="1" si="19"/>
        <v>2371084542.8199997</v>
      </c>
      <c r="AF74" s="77" t="e">
        <f t="shared" si="19"/>
        <v>#REF!</v>
      </c>
      <c r="AG74" s="77" t="e">
        <f t="shared" si="19"/>
        <v>#REF!</v>
      </c>
      <c r="AH74" s="77" t="e">
        <f t="shared" si="19"/>
        <v>#REF!</v>
      </c>
      <c r="AI74" s="77">
        <f t="shared" ca="1" si="19"/>
        <v>2777208458.48</v>
      </c>
      <c r="AJ74" s="77" t="e">
        <f>SUM(AJ35:AJ71)+AJ20+AJ32</f>
        <v>#REF!</v>
      </c>
      <c r="AK74" s="77" t="e">
        <f>SUM(AK35:AK67)+AK20+AK32</f>
        <v>#REF!</v>
      </c>
      <c r="AL74" s="77" t="e">
        <f>SUM(AL35:AL71)+AL20+AL32</f>
        <v>#REF!</v>
      </c>
      <c r="AM74" s="77">
        <f>SUM(AM35:AM71)+AM20+AM32+AM72+AM21</f>
        <v>29121549.530000001</v>
      </c>
      <c r="AN74" s="78"/>
      <c r="AO74" s="77" t="e">
        <f>SUM(AO35:AO71)+AO20+AO32+AO72+AO21+AO25</f>
        <v>#REF!</v>
      </c>
      <c r="AP74" s="78"/>
      <c r="AQ74" s="78"/>
      <c r="AR74" s="78"/>
      <c r="AS74" s="78"/>
      <c r="AT74" s="78"/>
      <c r="AU74" s="78"/>
      <c r="AV74" s="78"/>
      <c r="AW74" s="78"/>
      <c r="AX74" s="78"/>
      <c r="AY74" s="78"/>
      <c r="AZ74" s="78"/>
      <c r="BA74" s="78"/>
      <c r="BB74" s="78"/>
    </row>
    <row r="75" spans="1:57" ht="13.7" x14ac:dyDescent="0.4">
      <c r="V75" s="38"/>
      <c r="W75" s="78"/>
      <c r="X75" s="78"/>
      <c r="Y75" s="78"/>
      <c r="Z75" s="78"/>
      <c r="AA75" s="78"/>
      <c r="AB75" s="78"/>
      <c r="AC75" s="78"/>
      <c r="AD75" s="78"/>
      <c r="AE75" s="78"/>
      <c r="AF75" s="78"/>
      <c r="AG75" s="78"/>
      <c r="AH75" s="78"/>
      <c r="AI75" s="78"/>
      <c r="AJ75" s="78"/>
      <c r="AK75" s="78"/>
      <c r="AL75" s="78"/>
      <c r="AM75" s="78"/>
      <c r="AO75" s="78"/>
    </row>
    <row r="76" spans="1:57" ht="13.7" x14ac:dyDescent="0.4">
      <c r="H76" s="8">
        <v>16927943</v>
      </c>
      <c r="V76" s="49" t="s">
        <v>143</v>
      </c>
      <c r="W76" s="58"/>
      <c r="AN76" s="80" t="e">
        <f>K73-#REF!-112500</f>
        <v>#REF!</v>
      </c>
      <c r="AP76" s="80" t="e">
        <f>L73-#REF!</f>
        <v>#REF!</v>
      </c>
      <c r="AQ76" s="80" t="e">
        <f t="shared" ref="AQ76:AX76" si="20">SUM(L73-AQ73)</f>
        <v>#REF!</v>
      </c>
      <c r="AR76" s="81">
        <f t="shared" si="20"/>
        <v>90000</v>
      </c>
      <c r="AS76" s="81">
        <f t="shared" si="20"/>
        <v>0</v>
      </c>
      <c r="AT76" s="81">
        <f t="shared" si="20"/>
        <v>480375</v>
      </c>
      <c r="AU76" s="82">
        <f t="shared" si="20"/>
        <v>0</v>
      </c>
      <c r="AV76" s="82">
        <f t="shared" si="20"/>
        <v>0</v>
      </c>
      <c r="AW76" s="81">
        <f t="shared" si="20"/>
        <v>-7.4505805969238281E-9</v>
      </c>
      <c r="AX76" s="82">
        <f t="shared" si="20"/>
        <v>0</v>
      </c>
      <c r="AY76" s="82">
        <f>T73-AY73</f>
        <v>1722925.9299999997</v>
      </c>
      <c r="AZ76" s="82">
        <f>T73-AZ73</f>
        <v>688288.05000000447</v>
      </c>
      <c r="BA76" s="82">
        <f>T73-BA73</f>
        <v>0</v>
      </c>
      <c r="BB76" s="82">
        <f>U73-BB73</f>
        <v>0</v>
      </c>
      <c r="BE76" s="83"/>
    </row>
    <row r="77" spans="1:57" ht="13.7" x14ac:dyDescent="0.4">
      <c r="V77" s="49"/>
      <c r="W77" s="58"/>
      <c r="AN77" s="80"/>
      <c r="AP77" s="80"/>
      <c r="AQ77" s="80"/>
      <c r="AR77" s="81"/>
      <c r="AS77" s="81"/>
      <c r="AT77" s="81"/>
      <c r="AU77" s="82"/>
      <c r="AV77" s="82"/>
      <c r="AW77" s="82"/>
      <c r="AX77" s="82"/>
      <c r="AY77" s="82"/>
      <c r="AZ77" s="82"/>
      <c r="BA77" s="82"/>
      <c r="BB77" s="82"/>
    </row>
    <row r="78" spans="1:57" ht="14" x14ac:dyDescent="0.45">
      <c r="M78" s="84"/>
      <c r="V78" s="49"/>
      <c r="W78" s="80"/>
      <c r="X78" s="80"/>
      <c r="Y78" s="80"/>
      <c r="Z78" s="80"/>
      <c r="AA78" s="80"/>
      <c r="AB78" s="80"/>
      <c r="AC78" s="80"/>
      <c r="AD78" s="80"/>
      <c r="AE78" s="80"/>
      <c r="AF78" s="80"/>
      <c r="AG78" s="80"/>
      <c r="AH78" s="80"/>
      <c r="AI78" s="77"/>
      <c r="AJ78" s="80"/>
      <c r="AK78" s="77"/>
      <c r="AL78" s="80"/>
      <c r="AM78" s="80"/>
      <c r="AO78" s="80"/>
      <c r="AQ78" s="80"/>
      <c r="AW78" s="39"/>
      <c r="AX78" s="39"/>
      <c r="AY78" s="39"/>
      <c r="AZ78" s="39"/>
      <c r="BA78" s="85"/>
      <c r="BB78" s="16"/>
    </row>
    <row r="79" spans="1:57" ht="14" x14ac:dyDescent="0.45">
      <c r="M79" s="84"/>
      <c r="V79" s="49"/>
      <c r="W79" s="80"/>
      <c r="X79" s="80"/>
      <c r="Y79" s="80"/>
      <c r="Z79" s="80"/>
      <c r="AA79" s="80"/>
      <c r="AB79" s="80"/>
      <c r="AC79" s="80"/>
      <c r="AD79" s="80"/>
      <c r="AE79" s="80"/>
      <c r="AF79" s="80"/>
      <c r="AG79" s="80"/>
      <c r="AH79" s="80"/>
      <c r="AI79" s="77"/>
      <c r="AJ79" s="80"/>
      <c r="AK79" s="77"/>
      <c r="AL79" s="80"/>
      <c r="AM79" s="80"/>
      <c r="AO79" s="80"/>
      <c r="AQ79" s="80"/>
      <c r="AW79" s="39"/>
      <c r="AX79" s="39"/>
      <c r="AY79" s="39"/>
      <c r="AZ79" s="39"/>
      <c r="BA79" s="85"/>
      <c r="BB79" s="16"/>
    </row>
    <row r="80" spans="1:57" ht="14" x14ac:dyDescent="0.45">
      <c r="M80" s="84"/>
      <c r="V80" s="49"/>
      <c r="W80" s="80"/>
      <c r="X80" s="80"/>
      <c r="Y80" s="80"/>
      <c r="Z80" s="80"/>
      <c r="AA80" s="80"/>
      <c r="AB80" s="80"/>
      <c r="AC80" s="80"/>
      <c r="AD80" s="80"/>
      <c r="AE80" s="80"/>
      <c r="AF80" s="80"/>
      <c r="AG80" s="80"/>
      <c r="AH80" s="80"/>
      <c r="AI80" s="77"/>
      <c r="AJ80" s="80"/>
      <c r="AK80" s="77"/>
      <c r="AL80" s="80"/>
      <c r="AM80" s="80"/>
      <c r="AO80" s="80"/>
      <c r="AQ80" s="80"/>
      <c r="AW80" s="39"/>
      <c r="AX80" s="39"/>
      <c r="AY80" s="39"/>
      <c r="AZ80" s="39"/>
      <c r="BA80" s="85"/>
      <c r="BB80" s="16"/>
    </row>
    <row r="81" spans="1:54" ht="14" x14ac:dyDescent="0.45">
      <c r="V81" s="49"/>
      <c r="W81" s="80"/>
      <c r="X81" s="80"/>
      <c r="Y81" s="80"/>
      <c r="Z81" s="80"/>
      <c r="AA81" s="80"/>
      <c r="AB81" s="80"/>
      <c r="AC81" s="80"/>
      <c r="AD81" s="80"/>
      <c r="AE81" s="80"/>
      <c r="AF81" s="80"/>
      <c r="AG81" s="80"/>
      <c r="AH81" s="80"/>
      <c r="AI81" s="77"/>
      <c r="AJ81" s="80"/>
      <c r="AK81" s="77"/>
      <c r="AL81" s="80"/>
      <c r="AM81" s="80"/>
      <c r="AO81" s="80"/>
      <c r="AQ81" s="80"/>
      <c r="AW81" s="27"/>
      <c r="AX81" s="27"/>
      <c r="AY81" s="27"/>
      <c r="AZ81" s="27"/>
      <c r="BA81" s="86"/>
      <c r="BB81" s="16"/>
    </row>
    <row r="82" spans="1:54" ht="14" x14ac:dyDescent="0.45">
      <c r="H82" s="8">
        <v>16915183.699999999</v>
      </c>
      <c r="Q82" s="84"/>
      <c r="V82" s="49"/>
      <c r="W82" s="80"/>
      <c r="X82" s="80"/>
      <c r="Y82" s="80"/>
      <c r="Z82" s="80"/>
      <c r="AA82" s="80"/>
      <c r="AB82" s="80"/>
      <c r="AC82" s="80"/>
      <c r="AD82" s="80"/>
      <c r="AE82" s="80"/>
      <c r="AF82" s="80"/>
      <c r="AG82" s="80"/>
      <c r="AH82" s="80"/>
      <c r="AI82" s="77"/>
      <c r="AJ82" s="80"/>
      <c r="AK82" s="77"/>
      <c r="AL82" s="80"/>
      <c r="AM82" s="80"/>
      <c r="AO82" s="80"/>
      <c r="AV82" s="87"/>
      <c r="AW82" s="27"/>
      <c r="AX82" s="27"/>
      <c r="AY82" s="27"/>
      <c r="AZ82" s="27"/>
      <c r="BA82" s="86"/>
      <c r="BB82" s="16"/>
    </row>
    <row r="83" spans="1:54" ht="14" x14ac:dyDescent="0.45">
      <c r="H83" s="8">
        <f>H76-H82</f>
        <v>12759.300000000745</v>
      </c>
      <c r="Q83" s="84"/>
      <c r="V83" s="49"/>
      <c r="W83" s="88"/>
      <c r="Y83" s="80"/>
      <c r="Z83" s="80"/>
      <c r="AG83" s="89"/>
      <c r="AH83" s="89"/>
      <c r="AI83" s="89"/>
      <c r="AJ83" s="80"/>
      <c r="AK83" s="80"/>
      <c r="AL83" s="80"/>
      <c r="AM83" s="90"/>
      <c r="AO83" s="91"/>
      <c r="AQ83" s="80"/>
      <c r="AV83" s="87"/>
      <c r="AW83" s="27"/>
      <c r="AX83" s="27"/>
      <c r="AY83" s="27"/>
      <c r="AZ83" s="27"/>
      <c r="BA83" s="27"/>
      <c r="BB83" s="16"/>
    </row>
    <row r="84" spans="1:54" ht="14.35" thickBot="1" x14ac:dyDescent="0.5">
      <c r="A84" s="74"/>
      <c r="B84" s="30"/>
      <c r="I84" s="84"/>
      <c r="J84" s="84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0"/>
      <c r="W84" s="88"/>
      <c r="Y84" s="80"/>
      <c r="Z84" s="80"/>
      <c r="AF84" s="16"/>
      <c r="AG84" s="16"/>
      <c r="AH84" s="16"/>
      <c r="AI84" s="16"/>
      <c r="AJ84" s="80"/>
      <c r="AK84" s="80"/>
      <c r="AL84" s="92"/>
      <c r="AM84" s="93"/>
      <c r="AO84" s="94"/>
      <c r="AQ84" s="80"/>
      <c r="AV84" s="87"/>
      <c r="AW84" s="39"/>
      <c r="AX84" s="39"/>
      <c r="AY84" s="39"/>
      <c r="AZ84" s="39"/>
      <c r="BA84" s="39"/>
      <c r="BB84" s="39"/>
    </row>
    <row r="85" spans="1:54" ht="14" x14ac:dyDescent="0.45">
      <c r="A85" s="74"/>
      <c r="B85" s="30"/>
      <c r="I85" s="84"/>
      <c r="J85" s="84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0"/>
      <c r="W85" s="88"/>
      <c r="AF85" s="16"/>
      <c r="AG85" s="16"/>
      <c r="AH85" s="16"/>
      <c r="AI85" s="16"/>
      <c r="AJ85" s="77"/>
      <c r="AK85" s="16"/>
      <c r="AL85" s="80"/>
      <c r="AM85" s="80"/>
      <c r="AO85" s="89"/>
      <c r="AQ85" s="80"/>
    </row>
    <row r="86" spans="1:54" ht="14" x14ac:dyDescent="0.45">
      <c r="A86" s="74"/>
      <c r="B86" s="30"/>
      <c r="I86" s="84"/>
      <c r="J86" s="84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0"/>
      <c r="W86" s="88"/>
      <c r="AF86" s="16"/>
      <c r="AG86" s="16"/>
      <c r="AH86" s="16"/>
      <c r="AI86" s="16"/>
      <c r="AJ86" s="77"/>
      <c r="AK86" s="16"/>
      <c r="AL86" s="80"/>
      <c r="AM86" s="80"/>
      <c r="AO86" s="89"/>
      <c r="AQ86" s="80"/>
      <c r="BA86" s="89" t="s">
        <v>144</v>
      </c>
      <c r="BB86" s="39">
        <v>-93259.41</v>
      </c>
    </row>
    <row r="87" spans="1:54" ht="14" x14ac:dyDescent="0.45">
      <c r="A87" s="74"/>
      <c r="B87" s="30"/>
      <c r="I87" s="84"/>
      <c r="J87" s="84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0"/>
      <c r="W87" s="88"/>
      <c r="AF87" s="16"/>
      <c r="AG87" s="16"/>
      <c r="AH87" s="16"/>
      <c r="AI87" s="16"/>
      <c r="AJ87" s="77"/>
      <c r="AK87" s="16"/>
      <c r="AL87" s="80"/>
      <c r="AM87" s="80"/>
      <c r="AO87" s="89"/>
      <c r="AQ87" s="80"/>
    </row>
    <row r="88" spans="1:54" ht="14" x14ac:dyDescent="0.45">
      <c r="A88" s="74"/>
      <c r="B88" s="30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0"/>
      <c r="W88" s="88"/>
      <c r="AF88" s="16"/>
      <c r="AG88" s="16"/>
      <c r="AH88" s="16"/>
      <c r="AI88" s="16"/>
      <c r="AJ88" s="77"/>
      <c r="AK88" s="16"/>
      <c r="AL88" s="80"/>
      <c r="AM88" s="80"/>
      <c r="AO88" s="89"/>
      <c r="AQ88" s="80"/>
    </row>
    <row r="89" spans="1:54" ht="14" x14ac:dyDescent="0.45">
      <c r="A89" s="74"/>
      <c r="B89" s="30"/>
      <c r="I89" s="84"/>
      <c r="J89" s="84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0"/>
      <c r="W89" s="88"/>
      <c r="AF89" s="16"/>
      <c r="AG89" s="16"/>
      <c r="AH89" s="16"/>
      <c r="AI89" s="16"/>
      <c r="AJ89" s="77"/>
      <c r="AK89" s="16"/>
      <c r="AL89" s="80"/>
      <c r="AM89" s="80"/>
      <c r="AO89" s="89"/>
      <c r="AQ89" s="80"/>
    </row>
    <row r="90" spans="1:54" ht="14" x14ac:dyDescent="0.45">
      <c r="A90" s="74"/>
      <c r="B90" s="30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0"/>
      <c r="W90" s="88"/>
      <c r="AF90" s="16"/>
      <c r="AG90" s="16"/>
      <c r="AH90" s="16"/>
      <c r="AI90" s="16"/>
      <c r="AJ90" s="77"/>
      <c r="AK90" s="16"/>
      <c r="AL90" s="80"/>
      <c r="AM90" s="80"/>
      <c r="AO90" s="89"/>
      <c r="AQ90" s="80"/>
    </row>
    <row r="91" spans="1:54" ht="14" x14ac:dyDescent="0.45">
      <c r="A91" s="74"/>
      <c r="B91" s="30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0"/>
      <c r="W91" s="88"/>
      <c r="AF91" s="16"/>
      <c r="AG91" s="16"/>
      <c r="AH91" s="16"/>
      <c r="AI91" s="16"/>
      <c r="AJ91" s="77"/>
      <c r="AK91" s="16"/>
      <c r="AL91" s="80"/>
      <c r="AM91" s="80"/>
      <c r="AO91" s="89"/>
      <c r="AQ91" s="80"/>
    </row>
    <row r="92" spans="1:54" ht="14" x14ac:dyDescent="0.45">
      <c r="A92" s="74"/>
      <c r="B92" s="30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0"/>
      <c r="W92" s="88"/>
      <c r="AF92" s="16"/>
      <c r="AG92" s="16"/>
      <c r="AH92" s="16"/>
      <c r="AI92" s="16"/>
      <c r="AJ92" s="77"/>
      <c r="AK92" s="16"/>
      <c r="AL92" s="80"/>
      <c r="AM92" s="80"/>
      <c r="AO92" s="89"/>
      <c r="AQ92" s="80"/>
    </row>
    <row r="93" spans="1:54" ht="14" x14ac:dyDescent="0.45">
      <c r="A93" s="74"/>
      <c r="B93" s="30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0"/>
      <c r="W93" s="88"/>
      <c r="AF93" s="16"/>
      <c r="AG93" s="16"/>
      <c r="AH93" s="16"/>
      <c r="AI93" s="16"/>
      <c r="AJ93" s="77"/>
      <c r="AK93" s="16"/>
      <c r="AL93" s="80"/>
      <c r="AM93" s="80"/>
      <c r="AO93" s="89"/>
      <c r="AQ93" s="80"/>
    </row>
    <row r="94" spans="1:54" ht="14" x14ac:dyDescent="0.45">
      <c r="A94" s="74"/>
      <c r="B94" s="30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0"/>
      <c r="W94" s="88"/>
      <c r="AF94" s="16"/>
      <c r="AG94" s="16"/>
      <c r="AH94" s="16"/>
      <c r="AI94" s="16"/>
      <c r="AJ94" s="77"/>
      <c r="AK94" s="16"/>
      <c r="AL94" s="80"/>
      <c r="AM94" s="80"/>
      <c r="AO94" s="89"/>
      <c r="AQ94" s="80"/>
    </row>
    <row r="95" spans="1:54" ht="14" x14ac:dyDescent="0.45">
      <c r="A95" s="74"/>
      <c r="B95" s="30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0"/>
      <c r="W95" s="88"/>
      <c r="AF95" s="16"/>
      <c r="AG95" s="16"/>
      <c r="AH95" s="16"/>
      <c r="AI95" s="16"/>
      <c r="AJ95" s="77"/>
      <c r="AK95" s="16"/>
      <c r="AL95" s="80"/>
      <c r="AM95" s="80"/>
      <c r="AO95" s="94"/>
      <c r="AQ95" s="80"/>
    </row>
    <row r="96" spans="1:54" ht="14" x14ac:dyDescent="0.45">
      <c r="A96" s="74"/>
      <c r="B96" s="30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0"/>
      <c r="W96" s="88"/>
      <c r="AF96" s="16"/>
      <c r="AG96" s="16"/>
      <c r="AH96" s="16"/>
      <c r="AI96" s="16"/>
      <c r="AJ96" s="77"/>
      <c r="AK96" s="16"/>
      <c r="AL96" s="80"/>
      <c r="AM96" s="80"/>
      <c r="AO96" s="89"/>
      <c r="AQ96" s="80"/>
    </row>
    <row r="97" spans="1:43" ht="14" x14ac:dyDescent="0.45">
      <c r="A97" s="74"/>
      <c r="B97" s="30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0"/>
      <c r="W97" s="88"/>
      <c r="AF97" s="16"/>
      <c r="AG97" s="16"/>
      <c r="AH97" s="16"/>
      <c r="AI97" s="16"/>
      <c r="AJ97" s="77"/>
      <c r="AK97" s="16"/>
      <c r="AL97" s="80"/>
      <c r="AM97" s="80"/>
      <c r="AO97" s="91"/>
      <c r="AQ97" s="80"/>
    </row>
    <row r="98" spans="1:43" ht="14" x14ac:dyDescent="0.45">
      <c r="A98" s="74"/>
      <c r="B98" s="30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0"/>
      <c r="W98" s="88"/>
      <c r="AF98" s="16"/>
      <c r="AG98" s="16"/>
      <c r="AH98" s="16"/>
      <c r="AI98" s="16"/>
      <c r="AJ98" s="77"/>
      <c r="AK98" s="16"/>
      <c r="AL98" s="80"/>
      <c r="AM98" s="80"/>
      <c r="AO98" s="89"/>
      <c r="AQ98" s="80"/>
    </row>
    <row r="99" spans="1:43" ht="14" x14ac:dyDescent="0.45">
      <c r="A99" s="74"/>
      <c r="B99" s="30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0"/>
      <c r="W99" s="88"/>
      <c r="AF99" s="16"/>
      <c r="AG99" s="16"/>
      <c r="AH99" s="16"/>
      <c r="AI99" s="16"/>
      <c r="AJ99" s="77"/>
      <c r="AK99" s="16"/>
      <c r="AL99" s="80"/>
      <c r="AM99" s="80"/>
      <c r="AO99" s="94"/>
      <c r="AQ99" s="80"/>
    </row>
    <row r="100" spans="1:43" ht="14" x14ac:dyDescent="0.45">
      <c r="A100" s="74"/>
      <c r="B100" s="30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0"/>
      <c r="W100" s="88"/>
      <c r="AF100" s="16"/>
      <c r="AG100" s="16"/>
      <c r="AH100" s="16"/>
      <c r="AI100" s="16"/>
      <c r="AJ100" s="77"/>
      <c r="AK100" s="16"/>
      <c r="AL100" s="80"/>
      <c r="AM100" s="80"/>
      <c r="AO100" s="94"/>
      <c r="AQ100" s="80"/>
    </row>
    <row r="101" spans="1:43" ht="14" x14ac:dyDescent="0.45">
      <c r="A101" s="74"/>
      <c r="B101" s="30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0"/>
      <c r="W101" s="88"/>
      <c r="AF101" s="16"/>
      <c r="AG101" s="16"/>
      <c r="AH101" s="16"/>
      <c r="AI101" s="16"/>
      <c r="AJ101" s="77"/>
      <c r="AK101" s="16"/>
      <c r="AL101" s="80"/>
      <c r="AM101" s="80"/>
      <c r="AO101" s="89"/>
      <c r="AQ101" s="80"/>
    </row>
    <row r="102" spans="1:43" ht="14" x14ac:dyDescent="0.45">
      <c r="A102" s="74"/>
      <c r="B102" s="30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0"/>
      <c r="W102" s="88"/>
      <c r="AF102" s="16"/>
      <c r="AG102" s="16"/>
      <c r="AH102" s="16"/>
      <c r="AI102" s="16"/>
      <c r="AJ102" s="77"/>
      <c r="AK102" s="16"/>
      <c r="AL102" s="80"/>
      <c r="AM102" s="80"/>
      <c r="AO102" s="89"/>
      <c r="AQ102" s="80"/>
    </row>
    <row r="103" spans="1:43" ht="14" x14ac:dyDescent="0.45">
      <c r="A103" s="74"/>
      <c r="B103" s="30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0"/>
      <c r="W103" s="88"/>
      <c r="AF103" s="16"/>
      <c r="AG103" s="16"/>
      <c r="AH103" s="16"/>
      <c r="AI103" s="16"/>
      <c r="AJ103" s="77"/>
      <c r="AK103" s="16"/>
      <c r="AL103" s="80"/>
      <c r="AM103" s="80"/>
      <c r="AO103" s="89"/>
      <c r="AQ103" s="80"/>
    </row>
    <row r="104" spans="1:43" ht="14" x14ac:dyDescent="0.45">
      <c r="A104" s="74"/>
      <c r="B104" s="30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0"/>
      <c r="W104" s="88"/>
      <c r="AF104" s="16"/>
      <c r="AG104" s="16"/>
      <c r="AH104" s="16"/>
      <c r="AI104" s="16"/>
      <c r="AJ104" s="77"/>
      <c r="AK104" s="16"/>
      <c r="AL104" s="80"/>
      <c r="AM104" s="80"/>
      <c r="AO104" s="89"/>
      <c r="AQ104" s="80"/>
    </row>
    <row r="105" spans="1:43" ht="14" x14ac:dyDescent="0.45">
      <c r="A105" s="74"/>
      <c r="B105" s="30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0"/>
      <c r="W105" s="88"/>
      <c r="AF105" s="16"/>
      <c r="AG105" s="16"/>
      <c r="AH105" s="16"/>
      <c r="AI105" s="16"/>
      <c r="AJ105" s="77"/>
      <c r="AK105" s="16"/>
      <c r="AL105" s="80"/>
      <c r="AM105" s="80"/>
      <c r="AO105" s="89"/>
      <c r="AQ105" s="80"/>
    </row>
    <row r="106" spans="1:43" ht="14" x14ac:dyDescent="0.45">
      <c r="A106" s="74"/>
      <c r="B106" s="30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0"/>
      <c r="W106" s="88"/>
      <c r="AF106" s="16"/>
      <c r="AG106" s="16"/>
      <c r="AH106" s="16"/>
      <c r="AI106" s="16"/>
      <c r="AJ106" s="77"/>
      <c r="AK106" s="16"/>
      <c r="AL106" s="80"/>
      <c r="AM106" s="80"/>
      <c r="AO106" s="89"/>
      <c r="AQ106" s="80"/>
    </row>
    <row r="107" spans="1:43" ht="14" x14ac:dyDescent="0.45">
      <c r="A107" s="74"/>
      <c r="B107" s="30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0"/>
      <c r="W107" s="88"/>
      <c r="AF107" s="16"/>
      <c r="AG107" s="16"/>
      <c r="AH107" s="16"/>
      <c r="AI107" s="16"/>
      <c r="AJ107" s="77"/>
      <c r="AK107" s="16"/>
      <c r="AL107" s="80"/>
      <c r="AM107" s="80"/>
      <c r="AO107" s="89"/>
      <c r="AQ107" s="80"/>
    </row>
    <row r="108" spans="1:43" ht="14" x14ac:dyDescent="0.45">
      <c r="A108" s="74"/>
      <c r="B108" s="30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0"/>
      <c r="W108" s="88"/>
      <c r="AF108" s="16"/>
      <c r="AG108" s="16"/>
      <c r="AH108" s="16"/>
      <c r="AI108" s="16"/>
      <c r="AJ108" s="77"/>
      <c r="AK108" s="16"/>
      <c r="AL108" s="80"/>
      <c r="AM108" s="80"/>
      <c r="AO108" s="89"/>
      <c r="AQ108" s="80"/>
    </row>
    <row r="109" spans="1:43" ht="14" x14ac:dyDescent="0.45">
      <c r="A109" s="74"/>
      <c r="B109" s="30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0"/>
      <c r="W109" s="88"/>
      <c r="AF109" s="16"/>
      <c r="AG109" s="16"/>
      <c r="AH109" s="16"/>
      <c r="AI109" s="16"/>
      <c r="AJ109" s="77"/>
      <c r="AK109" s="16"/>
      <c r="AL109" s="80"/>
      <c r="AM109" s="80"/>
      <c r="AO109" s="89"/>
      <c r="AQ109" s="80"/>
    </row>
    <row r="110" spans="1:43" ht="14" x14ac:dyDescent="0.45">
      <c r="A110" s="74"/>
      <c r="B110" s="30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0"/>
      <c r="W110" s="88"/>
      <c r="AF110" s="16"/>
      <c r="AG110" s="16"/>
      <c r="AH110" s="16"/>
      <c r="AI110" s="16"/>
      <c r="AJ110" s="77"/>
      <c r="AK110" s="16"/>
      <c r="AL110" s="80"/>
      <c r="AM110" s="80"/>
      <c r="AO110" s="89"/>
      <c r="AQ110" s="80"/>
    </row>
    <row r="111" spans="1:43" ht="14" x14ac:dyDescent="0.45">
      <c r="A111" s="74"/>
      <c r="B111" s="30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0"/>
      <c r="W111" s="88"/>
      <c r="AF111" s="16"/>
      <c r="AG111" s="16"/>
      <c r="AH111" s="16"/>
      <c r="AI111" s="16"/>
      <c r="AJ111" s="77"/>
      <c r="AK111" s="16"/>
      <c r="AL111" s="80"/>
      <c r="AM111" s="80"/>
    </row>
    <row r="112" spans="1:43" ht="14" x14ac:dyDescent="0.45">
      <c r="A112" s="74"/>
      <c r="B112" s="30"/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0"/>
      <c r="W112" s="88"/>
      <c r="AF112" s="16"/>
      <c r="AG112" s="16"/>
      <c r="AH112" s="16"/>
      <c r="AI112" s="16"/>
      <c r="AJ112" s="16"/>
      <c r="AK112" s="16"/>
      <c r="AL112" s="16"/>
      <c r="AM112" s="16"/>
    </row>
    <row r="113" spans="1:39" ht="14" x14ac:dyDescent="0.45">
      <c r="A113" s="74"/>
      <c r="B113" s="30"/>
      <c r="I113" s="95"/>
      <c r="J113" s="95"/>
      <c r="K113" s="95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3"/>
      <c r="W113" s="88"/>
      <c r="AF113" s="16"/>
      <c r="AG113" s="16"/>
      <c r="AH113" s="16"/>
      <c r="AI113" s="16"/>
      <c r="AJ113" s="16"/>
      <c r="AK113" s="16"/>
      <c r="AL113" s="16"/>
      <c r="AM113" s="16"/>
    </row>
    <row r="114" spans="1:39" ht="14" x14ac:dyDescent="0.45">
      <c r="B114" s="30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0"/>
      <c r="W114" s="88"/>
      <c r="AF114" s="16"/>
      <c r="AG114" s="96"/>
      <c r="AH114" s="96"/>
      <c r="AI114" s="96"/>
      <c r="AJ114" s="96"/>
      <c r="AK114" s="96"/>
      <c r="AL114" s="96"/>
      <c r="AM114" s="96"/>
    </row>
    <row r="115" spans="1:39" ht="14" x14ac:dyDescent="0.45">
      <c r="AF115" s="16"/>
      <c r="AG115" s="27"/>
      <c r="AH115" s="27"/>
      <c r="AI115" s="27"/>
      <c r="AJ115" s="27"/>
      <c r="AK115" s="27"/>
      <c r="AL115" s="27"/>
      <c r="AM115" s="27"/>
    </row>
    <row r="116" spans="1:39" ht="14" x14ac:dyDescent="0.45">
      <c r="AF116" s="16"/>
      <c r="AJ116" s="27"/>
      <c r="AM116" s="27"/>
    </row>
    <row r="117" spans="1:39" ht="14.35" thickBot="1" x14ac:dyDescent="0.5">
      <c r="E117" s="97"/>
      <c r="AA117" s="98"/>
      <c r="AB117" s="98"/>
      <c r="AC117" s="98"/>
      <c r="AD117" s="98"/>
      <c r="AE117" s="98"/>
      <c r="AF117" s="96"/>
      <c r="AG117" s="99"/>
      <c r="AH117" s="99"/>
      <c r="AI117" s="99"/>
      <c r="AJ117" s="100"/>
      <c r="AK117" s="99"/>
      <c r="AL117" s="99"/>
      <c r="AM117" s="100"/>
    </row>
    <row r="118" spans="1:39" x14ac:dyDescent="0.4">
      <c r="AJ118" s="27"/>
      <c r="AM118" s="27"/>
    </row>
  </sheetData>
  <printOptions horizontalCentered="1" gridLines="1"/>
  <pageMargins left="0.5" right="0.5" top="0.7" bottom="0.7" header="0" footer="0"/>
  <pageSetup scale="62" orientation="landscape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A1:CH200"/>
  <sheetViews>
    <sheetView tabSelected="1" topLeftCell="B1" zoomScale="85" zoomScaleNormal="85" workbookViewId="0">
      <pane xSplit="58" ySplit="4" topLeftCell="BM143" activePane="bottomRight" state="frozen"/>
      <selection activeCell="B1" sqref="B1"/>
      <selection pane="topRight" activeCell="BH1" sqref="BH1"/>
      <selection pane="bottomLeft" activeCell="B5" sqref="B5"/>
      <selection pane="bottomRight" activeCell="BS171" sqref="BS171"/>
    </sheetView>
  </sheetViews>
  <sheetFormatPr defaultColWidth="9.1171875" defaultRowHeight="12.7" x14ac:dyDescent="0.4"/>
  <cols>
    <col min="1" max="1" width="7.64453125" style="139" hidden="1" customWidth="1"/>
    <col min="2" max="2" width="6.3515625" style="139" customWidth="1"/>
    <col min="3" max="3" width="29.1171875" style="181" customWidth="1"/>
    <col min="4" max="5" width="17.64453125" style="104" hidden="1" customWidth="1"/>
    <col min="6" max="6" width="17.1171875" style="8" hidden="1" customWidth="1"/>
    <col min="7" max="8" width="17.64453125" style="111" hidden="1" customWidth="1"/>
    <col min="9" max="9" width="16.87890625" style="106" hidden="1" customWidth="1"/>
    <col min="10" max="12" width="18.87890625" style="111" hidden="1" customWidth="1"/>
    <col min="13" max="13" width="20.64453125" style="111" hidden="1" customWidth="1"/>
    <col min="14" max="14" width="18.41015625" style="111" hidden="1" customWidth="1"/>
    <col min="15" max="16" width="15.41015625" style="111" hidden="1" customWidth="1"/>
    <col min="17" max="20" width="17.64453125" style="111" hidden="1" customWidth="1"/>
    <col min="21" max="21" width="17.3515625" style="111" hidden="1" customWidth="1"/>
    <col min="22" max="22" width="10.52734375" style="111" hidden="1" customWidth="1"/>
    <col min="23" max="24" width="9.1171875" style="111" hidden="1" customWidth="1"/>
    <col min="25" max="27" width="17.64453125" style="111" hidden="1" customWidth="1"/>
    <col min="28" max="28" width="15.64453125" style="111" hidden="1" customWidth="1"/>
    <col min="29" max="29" width="19.41015625" style="111" hidden="1" customWidth="1"/>
    <col min="30" max="30" width="9.1171875" style="111" hidden="1" customWidth="1"/>
    <col min="31" max="31" width="15.64453125" style="111" hidden="1" customWidth="1"/>
    <col min="32" max="32" width="9.1171875" style="111" hidden="1" customWidth="1"/>
    <col min="33" max="34" width="14.41015625" style="111" hidden="1" customWidth="1"/>
    <col min="35" max="36" width="17.64453125" style="111" hidden="1" customWidth="1"/>
    <col min="37" max="37" width="13.52734375" style="111" hidden="1" customWidth="1"/>
    <col min="38" max="38" width="12.1171875" style="111" hidden="1" customWidth="1"/>
    <col min="39" max="39" width="15.41015625" style="111" hidden="1" customWidth="1"/>
    <col min="40" max="40" width="16.1171875" style="111" hidden="1" customWidth="1"/>
    <col min="41" max="43" width="17.64453125" style="111" hidden="1" customWidth="1"/>
    <col min="44" max="44" width="14.52734375" style="111" hidden="1" customWidth="1"/>
    <col min="45" max="45" width="15.41015625" style="111" hidden="1" customWidth="1"/>
    <col min="46" max="46" width="16.1171875" style="111" hidden="1" customWidth="1"/>
    <col min="47" max="53" width="17.64453125" style="111" hidden="1" customWidth="1"/>
    <col min="54" max="54" width="15.87890625" style="112" hidden="1" customWidth="1"/>
    <col min="55" max="55" width="17.64453125" style="111" hidden="1" customWidth="1"/>
    <col min="56" max="56" width="12.87890625" style="111" hidden="1" customWidth="1"/>
    <col min="57" max="57" width="9.1171875" style="111" hidden="1" customWidth="1"/>
    <col min="58" max="58" width="17.64453125" style="111" hidden="1" customWidth="1"/>
    <col min="59" max="64" width="14.52734375" style="111" hidden="1" customWidth="1"/>
    <col min="65" max="65" width="14.52734375" style="111" customWidth="1"/>
    <col min="66" max="67" width="14.52734375" style="111" hidden="1" customWidth="1"/>
    <col min="68" max="68" width="12" style="111" hidden="1" customWidth="1"/>
    <col min="69" max="69" width="10.87890625" style="111" hidden="1" customWidth="1"/>
    <col min="70" max="70" width="0" style="111" hidden="1" customWidth="1"/>
    <col min="71" max="71" width="14.52734375" style="108" customWidth="1"/>
    <col min="72" max="72" width="14.52734375" style="111" hidden="1" customWidth="1"/>
    <col min="73" max="73" width="14.52734375" style="111" customWidth="1"/>
    <col min="74" max="75" width="14.52734375" style="111" hidden="1" customWidth="1"/>
    <col min="76" max="76" width="14.52734375" style="111" customWidth="1"/>
    <col min="77" max="77" width="14.52734375" style="111" hidden="1" customWidth="1"/>
    <col min="78" max="78" width="14.52734375" style="111" customWidth="1"/>
    <col min="79" max="81" width="14.64453125" style="111" hidden="1" customWidth="1"/>
    <col min="82" max="82" width="14.64453125" style="111" customWidth="1"/>
    <col min="83" max="84" width="14.64453125" style="111" bestFit="1" customWidth="1"/>
    <col min="85" max="85" width="9.1171875" style="111"/>
    <col min="86" max="86" width="9.76171875" style="111" bestFit="1" customWidth="1"/>
    <col min="87" max="16384" width="9.1171875" style="111"/>
  </cols>
  <sheetData>
    <row r="1" spans="1:84" s="105" customFormat="1" ht="41.45" customHeight="1" x14ac:dyDescent="0.9">
      <c r="A1" s="101" t="s">
        <v>145</v>
      </c>
      <c r="B1" s="102" t="s">
        <v>146</v>
      </c>
      <c r="C1" s="103"/>
      <c r="D1" s="104"/>
      <c r="E1" s="104"/>
      <c r="F1" s="8"/>
      <c r="I1" s="106"/>
      <c r="BB1" s="107"/>
      <c r="BS1" s="108"/>
    </row>
    <row r="2" spans="1:84" x14ac:dyDescent="0.4">
      <c r="A2" s="109"/>
      <c r="B2" s="109" t="s">
        <v>134</v>
      </c>
      <c r="C2" s="110"/>
    </row>
    <row r="3" spans="1:84" s="113" customFormat="1" x14ac:dyDescent="0.4">
      <c r="A3" s="113" t="s">
        <v>147</v>
      </c>
      <c r="B3" s="113" t="s">
        <v>148</v>
      </c>
      <c r="D3" s="113" t="s">
        <v>149</v>
      </c>
      <c r="E3" s="113" t="s">
        <v>149</v>
      </c>
      <c r="F3" s="113" t="s">
        <v>149</v>
      </c>
      <c r="G3" s="113" t="s">
        <v>149</v>
      </c>
      <c r="H3" s="113" t="s">
        <v>149</v>
      </c>
      <c r="I3" s="113" t="s">
        <v>150</v>
      </c>
      <c r="J3" s="113" t="s">
        <v>149</v>
      </c>
      <c r="K3" s="113" t="s">
        <v>151</v>
      </c>
      <c r="L3" s="113" t="s">
        <v>149</v>
      </c>
      <c r="M3" s="113" t="s">
        <v>152</v>
      </c>
      <c r="N3" s="113" t="s">
        <v>150</v>
      </c>
      <c r="O3" s="113" t="s">
        <v>153</v>
      </c>
      <c r="Q3" s="113" t="s">
        <v>149</v>
      </c>
      <c r="R3" s="113" t="s">
        <v>149</v>
      </c>
      <c r="S3" s="113" t="s">
        <v>154</v>
      </c>
      <c r="T3" s="113" t="s">
        <v>149</v>
      </c>
      <c r="U3" s="113" t="s">
        <v>155</v>
      </c>
      <c r="V3" s="113" t="s">
        <v>156</v>
      </c>
      <c r="Y3" s="113" t="s">
        <v>157</v>
      </c>
      <c r="Z3" s="113" t="s">
        <v>158</v>
      </c>
      <c r="AA3" s="113" t="s">
        <v>149</v>
      </c>
      <c r="AB3" s="113" t="s">
        <v>159</v>
      </c>
      <c r="AC3" s="113" t="s">
        <v>160</v>
      </c>
      <c r="AD3" s="113" t="s">
        <v>161</v>
      </c>
      <c r="AE3" s="113" t="s">
        <v>159</v>
      </c>
      <c r="AF3" s="113" t="s">
        <v>161</v>
      </c>
      <c r="AG3" s="113" t="s">
        <v>159</v>
      </c>
      <c r="AH3" s="113" t="s">
        <v>162</v>
      </c>
      <c r="AI3" s="113" t="s">
        <v>163</v>
      </c>
      <c r="AJ3" s="113" t="s">
        <v>164</v>
      </c>
      <c r="AK3" s="113" t="s">
        <v>165</v>
      </c>
      <c r="AL3" s="113" t="s">
        <v>166</v>
      </c>
      <c r="AM3" s="113" t="s">
        <v>167</v>
      </c>
      <c r="AN3" s="113" t="s">
        <v>168</v>
      </c>
      <c r="AO3" s="114" t="s">
        <v>149</v>
      </c>
      <c r="AP3" s="113" t="s">
        <v>167</v>
      </c>
      <c r="AQ3" s="113" t="s">
        <v>168</v>
      </c>
      <c r="AR3" s="115" t="s">
        <v>169</v>
      </c>
      <c r="AS3" s="113" t="s">
        <v>167</v>
      </c>
      <c r="AT3" s="113" t="s">
        <v>168</v>
      </c>
      <c r="AU3" s="113" t="s">
        <v>170</v>
      </c>
      <c r="AV3" s="113" t="s">
        <v>171</v>
      </c>
      <c r="AW3" s="113" t="s">
        <v>172</v>
      </c>
      <c r="AX3" s="113" t="s">
        <v>173</v>
      </c>
      <c r="AY3" s="113" t="s">
        <v>149</v>
      </c>
      <c r="AZ3" s="113" t="s">
        <v>174</v>
      </c>
      <c r="BA3" s="113" t="s">
        <v>175</v>
      </c>
      <c r="BB3" s="116"/>
      <c r="BC3" s="113" t="s">
        <v>164</v>
      </c>
      <c r="BD3" s="113" t="s">
        <v>159</v>
      </c>
      <c r="BE3" s="113" t="s">
        <v>176</v>
      </c>
      <c r="BF3" s="113" t="s">
        <v>149</v>
      </c>
      <c r="BG3" s="113" t="s">
        <v>177</v>
      </c>
      <c r="BH3" s="117" t="s">
        <v>149</v>
      </c>
      <c r="BI3" s="117" t="s">
        <v>178</v>
      </c>
      <c r="BJ3" s="117" t="s">
        <v>179</v>
      </c>
      <c r="BK3" s="117" t="s">
        <v>180</v>
      </c>
      <c r="BL3" s="117" t="s">
        <v>181</v>
      </c>
      <c r="BM3" s="117" t="s">
        <v>182</v>
      </c>
      <c r="BN3" s="113" t="s">
        <v>183</v>
      </c>
      <c r="BO3" s="113" t="s">
        <v>184</v>
      </c>
      <c r="BP3" s="113" t="s">
        <v>185</v>
      </c>
      <c r="BQ3" s="113" t="s">
        <v>186</v>
      </c>
      <c r="BS3" s="108" t="s">
        <v>149</v>
      </c>
      <c r="BT3" s="113" t="s">
        <v>187</v>
      </c>
      <c r="BU3" s="113" t="s">
        <v>182</v>
      </c>
      <c r="BV3" s="113" t="s">
        <v>188</v>
      </c>
      <c r="BW3" s="113" t="s">
        <v>189</v>
      </c>
      <c r="BX3" s="113" t="s">
        <v>149</v>
      </c>
      <c r="BY3" s="117" t="s">
        <v>190</v>
      </c>
      <c r="BZ3" s="117" t="s">
        <v>149</v>
      </c>
      <c r="CA3" s="117" t="s">
        <v>191</v>
      </c>
      <c r="CB3" s="117" t="s">
        <v>192</v>
      </c>
      <c r="CC3" s="117" t="s">
        <v>193</v>
      </c>
      <c r="CD3" s="117" t="s">
        <v>182</v>
      </c>
      <c r="CE3" s="117" t="s">
        <v>194</v>
      </c>
      <c r="CF3" s="117" t="s">
        <v>195</v>
      </c>
    </row>
    <row r="4" spans="1:84" s="118" customFormat="1" ht="12" customHeight="1" x14ac:dyDescent="0.4">
      <c r="A4" s="113" t="s">
        <v>196</v>
      </c>
      <c r="B4" s="113" t="s">
        <v>196</v>
      </c>
      <c r="C4" s="113"/>
      <c r="D4" s="113" t="s">
        <v>197</v>
      </c>
      <c r="E4" s="113" t="s">
        <v>198</v>
      </c>
      <c r="F4" s="113" t="s">
        <v>199</v>
      </c>
      <c r="G4" s="113" t="s">
        <v>200</v>
      </c>
      <c r="H4" s="113" t="s">
        <v>201</v>
      </c>
      <c r="I4" s="113" t="s">
        <v>202</v>
      </c>
      <c r="J4" s="118" t="s">
        <v>203</v>
      </c>
      <c r="K4" s="118" t="s">
        <v>204</v>
      </c>
      <c r="L4" s="118" t="s">
        <v>205</v>
      </c>
      <c r="M4" s="118" t="s">
        <v>206</v>
      </c>
      <c r="N4" s="118" t="s">
        <v>207</v>
      </c>
      <c r="O4" s="118" t="s">
        <v>208</v>
      </c>
      <c r="Q4" s="118" t="s">
        <v>209</v>
      </c>
      <c r="R4" s="118" t="s">
        <v>210</v>
      </c>
      <c r="S4" s="118" t="s">
        <v>211</v>
      </c>
      <c r="T4" s="118" t="s">
        <v>154</v>
      </c>
      <c r="U4" s="118" t="s">
        <v>212</v>
      </c>
      <c r="V4" s="118" t="s">
        <v>213</v>
      </c>
      <c r="Y4" s="118" t="s">
        <v>214</v>
      </c>
      <c r="Z4" s="118" t="s">
        <v>214</v>
      </c>
      <c r="AA4" s="118" t="s">
        <v>215</v>
      </c>
      <c r="AB4" s="118" t="s">
        <v>216</v>
      </c>
      <c r="AC4" s="118" t="s">
        <v>158</v>
      </c>
      <c r="AD4" s="118" t="s">
        <v>217</v>
      </c>
      <c r="AE4" s="118" t="s">
        <v>218</v>
      </c>
      <c r="AF4" s="118" t="s">
        <v>219</v>
      </c>
      <c r="AG4" s="118" t="s">
        <v>220</v>
      </c>
      <c r="AH4" s="118" t="s">
        <v>220</v>
      </c>
      <c r="AI4" s="118" t="s">
        <v>221</v>
      </c>
      <c r="AJ4" s="118" t="s">
        <v>221</v>
      </c>
      <c r="AK4" s="118" t="s">
        <v>222</v>
      </c>
      <c r="AL4" s="118" t="s">
        <v>222</v>
      </c>
      <c r="AM4" s="118" t="s">
        <v>223</v>
      </c>
      <c r="AN4" s="118" t="s">
        <v>223</v>
      </c>
      <c r="AO4" s="119" t="s">
        <v>221</v>
      </c>
      <c r="AR4" s="120" t="s">
        <v>224</v>
      </c>
      <c r="AS4" s="118" t="s">
        <v>225</v>
      </c>
      <c r="AT4" s="118" t="s">
        <v>225</v>
      </c>
      <c r="AU4" s="118" t="s">
        <v>226</v>
      </c>
      <c r="AV4" s="118" t="s">
        <v>227</v>
      </c>
      <c r="AW4" s="118" t="s">
        <v>228</v>
      </c>
      <c r="AX4" s="118" t="s">
        <v>228</v>
      </c>
      <c r="AY4" s="118" t="s">
        <v>229</v>
      </c>
      <c r="AZ4" s="118" t="s">
        <v>230</v>
      </c>
      <c r="BA4" s="118" t="s">
        <v>230</v>
      </c>
      <c r="BB4" s="116" t="s">
        <v>231</v>
      </c>
      <c r="BC4" s="118" t="s">
        <v>232</v>
      </c>
      <c r="BD4" s="118" t="s">
        <v>233</v>
      </c>
      <c r="BE4" s="118" t="s">
        <v>233</v>
      </c>
      <c r="BF4" s="118" t="s">
        <v>232</v>
      </c>
      <c r="BG4" s="118" t="s">
        <v>234</v>
      </c>
      <c r="BH4" s="118" t="s">
        <v>235</v>
      </c>
      <c r="BI4" s="118" t="s">
        <v>226</v>
      </c>
      <c r="BJ4" s="118" t="s">
        <v>236</v>
      </c>
      <c r="BK4" s="118" t="s">
        <v>236</v>
      </c>
      <c r="BL4" s="118" t="s">
        <v>237</v>
      </c>
      <c r="BM4" s="118" t="s">
        <v>236</v>
      </c>
      <c r="BN4" s="118" t="s">
        <v>238</v>
      </c>
      <c r="BO4" s="118" t="s">
        <v>239</v>
      </c>
      <c r="BP4" s="118" t="s">
        <v>240</v>
      </c>
      <c r="BQ4" s="118" t="s">
        <v>240</v>
      </c>
      <c r="BS4" s="108" t="s">
        <v>241</v>
      </c>
      <c r="BT4" s="118" t="s">
        <v>242</v>
      </c>
      <c r="BU4" s="118" t="s">
        <v>243</v>
      </c>
      <c r="BV4" s="118" t="s">
        <v>242</v>
      </c>
      <c r="BW4" s="118" t="s">
        <v>244</v>
      </c>
      <c r="BX4" s="118" t="s">
        <v>245</v>
      </c>
      <c r="BY4" s="118" t="s">
        <v>242</v>
      </c>
      <c r="BZ4" s="118" t="s">
        <v>246</v>
      </c>
      <c r="CA4" s="118" t="s">
        <v>242</v>
      </c>
      <c r="CB4" s="118" t="s">
        <v>247</v>
      </c>
      <c r="CC4" s="118" t="s">
        <v>247</v>
      </c>
      <c r="CD4" s="118" t="s">
        <v>248</v>
      </c>
      <c r="CE4" s="118" t="s">
        <v>249</v>
      </c>
      <c r="CF4" s="118" t="s">
        <v>244</v>
      </c>
    </row>
    <row r="5" spans="1:84" s="118" customFormat="1" ht="12" customHeight="1" x14ac:dyDescent="0.45">
      <c r="A5" s="113"/>
      <c r="B5" s="113"/>
      <c r="C5" s="113"/>
      <c r="D5" s="113"/>
      <c r="E5" s="113"/>
      <c r="F5" s="113"/>
      <c r="G5" s="113"/>
      <c r="H5" s="113"/>
      <c r="I5" s="113"/>
      <c r="T5" s="111"/>
      <c r="AJ5" s="121"/>
      <c r="AO5" s="122"/>
      <c r="AP5" s="121"/>
      <c r="AQ5" s="121"/>
      <c r="AR5" s="123">
        <v>4</v>
      </c>
      <c r="AU5" s="121"/>
      <c r="AV5" s="121"/>
      <c r="AW5" s="121"/>
      <c r="AX5" s="121"/>
      <c r="AY5" s="121"/>
      <c r="AZ5" s="121"/>
      <c r="BA5" s="121"/>
      <c r="BB5" s="116"/>
      <c r="BC5" s="118" t="s">
        <v>41</v>
      </c>
      <c r="BG5" s="118" t="s">
        <v>227</v>
      </c>
      <c r="BK5" s="118" t="s">
        <v>250</v>
      </c>
      <c r="BN5" s="118" t="s">
        <v>242</v>
      </c>
      <c r="BO5" s="118" t="s">
        <v>251</v>
      </c>
      <c r="BP5" s="118" t="s">
        <v>42</v>
      </c>
      <c r="BQ5" s="118" t="s">
        <v>42</v>
      </c>
      <c r="BS5" s="108"/>
      <c r="BT5" s="121"/>
      <c r="BU5" s="121"/>
      <c r="BV5" s="121"/>
      <c r="BW5" s="121"/>
      <c r="BX5" s="121"/>
    </row>
    <row r="6" spans="1:84" ht="13" thickBot="1" x14ac:dyDescent="0.45">
      <c r="A6" s="124"/>
      <c r="B6" s="124"/>
      <c r="C6" s="125" t="s">
        <v>252</v>
      </c>
      <c r="G6" s="111" t="s">
        <v>134</v>
      </c>
      <c r="AR6" s="126"/>
    </row>
    <row r="7" spans="1:84" ht="13" thickBot="1" x14ac:dyDescent="0.45">
      <c r="A7" s="124">
        <v>710</v>
      </c>
      <c r="B7" s="124">
        <v>1</v>
      </c>
      <c r="C7" s="127" t="s">
        <v>253</v>
      </c>
      <c r="D7" s="106">
        <v>308000</v>
      </c>
      <c r="E7" s="106">
        <v>294344</v>
      </c>
      <c r="F7" s="128">
        <v>349407</v>
      </c>
      <c r="G7" s="106">
        <v>305470</v>
      </c>
      <c r="H7" s="106">
        <v>391028</v>
      </c>
      <c r="I7" s="129"/>
      <c r="J7" s="130">
        <v>432232</v>
      </c>
      <c r="K7" s="130">
        <v>501915</v>
      </c>
      <c r="L7" s="130">
        <v>480256</v>
      </c>
      <c r="M7" s="130">
        <v>1284785</v>
      </c>
      <c r="N7" s="129">
        <f>M7-L7</f>
        <v>804529</v>
      </c>
      <c r="O7" s="131">
        <f>N7/L7</f>
        <v>1.6752086387260128</v>
      </c>
      <c r="Q7" s="130">
        <v>1177886.42</v>
      </c>
      <c r="R7" s="130">
        <v>1394260.1</v>
      </c>
      <c r="S7" s="130">
        <v>1536015</v>
      </c>
      <c r="T7" s="130">
        <v>1536013</v>
      </c>
      <c r="U7" s="132">
        <f>S7-R7</f>
        <v>141754.89999999991</v>
      </c>
      <c r="V7" s="132">
        <f>U7/Q7</f>
        <v>0.12034683276168505</v>
      </c>
      <c r="W7" s="132"/>
      <c r="X7" s="132"/>
      <c r="Y7" s="132">
        <v>1543534</v>
      </c>
      <c r="Z7" s="132">
        <v>1543534</v>
      </c>
      <c r="AA7" s="132">
        <v>1529705</v>
      </c>
      <c r="AB7" s="132">
        <f>Y7-T7</f>
        <v>7521</v>
      </c>
      <c r="AC7" s="132">
        <f>T7-S7</f>
        <v>-2</v>
      </c>
      <c r="AD7" s="131">
        <f>AB7/T7</f>
        <v>4.8964429337512117E-3</v>
      </c>
      <c r="AE7" s="133">
        <f>Z7-T7</f>
        <v>7521</v>
      </c>
      <c r="AF7" s="131">
        <f>AE7/T7</f>
        <v>4.8964429337512117E-3</v>
      </c>
      <c r="AG7" s="133">
        <f>AA7-T7</f>
        <v>-6308</v>
      </c>
      <c r="AH7" s="131">
        <f>AG7/T7</f>
        <v>-4.1067360758014421E-3</v>
      </c>
      <c r="AI7" s="132">
        <v>1701296</v>
      </c>
      <c r="AJ7" s="130">
        <v>1701296</v>
      </c>
      <c r="AK7" s="130">
        <f>AI7-AA7</f>
        <v>171591</v>
      </c>
      <c r="AL7" s="134">
        <f>AK7/AA7</f>
        <v>0.11217260844411177</v>
      </c>
      <c r="AM7" s="130">
        <f>AJ7-AA7</f>
        <v>171591</v>
      </c>
      <c r="AN7" s="134">
        <f>AM7/AA7</f>
        <v>0.11217260844411177</v>
      </c>
      <c r="AO7" s="108">
        <v>1698912</v>
      </c>
      <c r="AP7" s="108">
        <f>AO7-AA7</f>
        <v>169207</v>
      </c>
      <c r="AQ7" s="131">
        <f>AP7/AA7</f>
        <v>0.11061413802007576</v>
      </c>
      <c r="AR7" s="132">
        <v>1701296</v>
      </c>
      <c r="AS7" s="132">
        <f>AR7-AA7</f>
        <v>171591</v>
      </c>
      <c r="AT7" s="131">
        <f>AS7/AA7</f>
        <v>0.11217260844411177</v>
      </c>
      <c r="AU7" s="108">
        <v>2029713</v>
      </c>
      <c r="AV7" s="108">
        <f>AY7</f>
        <v>1751371</v>
      </c>
      <c r="AW7" s="108">
        <f>AV7-AO7</f>
        <v>52459</v>
      </c>
      <c r="AX7" s="131">
        <f>AW7/AO7</f>
        <v>3.087799721233354E-2</v>
      </c>
      <c r="AY7" s="108">
        <v>1751371</v>
      </c>
      <c r="AZ7" s="108">
        <f>AY7-AO7</f>
        <v>52459</v>
      </c>
      <c r="BA7" s="131">
        <f>AZ7/AO7</f>
        <v>3.087799721233354E-2</v>
      </c>
      <c r="BB7" s="112">
        <f>+AV7-AY7</f>
        <v>0</v>
      </c>
      <c r="BC7" s="108">
        <v>1773794</v>
      </c>
      <c r="BD7" s="108">
        <f>BC7-AY7</f>
        <v>22423</v>
      </c>
      <c r="BE7" s="134">
        <f>BD7/AY7</f>
        <v>1.2803112532981305E-2</v>
      </c>
      <c r="BF7" s="108">
        <v>1824399</v>
      </c>
      <c r="BG7" s="108">
        <v>1983212</v>
      </c>
      <c r="BH7" s="108">
        <v>1938216</v>
      </c>
      <c r="BI7" s="108">
        <v>1895632</v>
      </c>
      <c r="BJ7" s="108">
        <v>1895632</v>
      </c>
      <c r="BK7" s="108">
        <v>1895632</v>
      </c>
      <c r="BL7" s="108">
        <v>2044821</v>
      </c>
      <c r="BM7" s="108">
        <v>1869785.88</v>
      </c>
      <c r="BN7" s="108">
        <v>2044821</v>
      </c>
      <c r="BO7" s="108">
        <v>0</v>
      </c>
      <c r="BP7" s="108">
        <f>BN7-BK7</f>
        <v>149189</v>
      </c>
      <c r="BQ7" s="134">
        <f>BP7/BK7</f>
        <v>7.8701456822843255E-2</v>
      </c>
      <c r="BR7" s="111">
        <f>BO7-BN7</f>
        <v>-2044821</v>
      </c>
      <c r="BS7" s="108">
        <v>2084670.7</v>
      </c>
      <c r="BT7" s="108">
        <v>2054987</v>
      </c>
      <c r="BU7" s="108">
        <v>2054986.73</v>
      </c>
      <c r="BV7" s="108">
        <v>2079853</v>
      </c>
      <c r="BW7" s="108">
        <v>2876260</v>
      </c>
      <c r="BX7" s="108">
        <v>2079852.66</v>
      </c>
      <c r="BY7" s="108">
        <f>BW7</f>
        <v>2876260</v>
      </c>
      <c r="BZ7" s="108">
        <v>2870573.15</v>
      </c>
      <c r="CA7" s="108">
        <v>3097672</v>
      </c>
      <c r="CB7" s="108">
        <v>3102790.88</v>
      </c>
      <c r="CC7" s="108">
        <f>CB7</f>
        <v>3102790.88</v>
      </c>
      <c r="CD7" s="108">
        <v>3097671.53</v>
      </c>
      <c r="CE7" s="108">
        <f>CC7</f>
        <v>3102790.88</v>
      </c>
      <c r="CF7" s="135">
        <v>3095185.66</v>
      </c>
    </row>
    <row r="8" spans="1:84" ht="13" thickBot="1" x14ac:dyDescent="0.45">
      <c r="A8" s="124">
        <v>751</v>
      </c>
      <c r="B8" s="124">
        <f>B7+1</f>
        <v>2</v>
      </c>
      <c r="C8" s="127" t="s">
        <v>254</v>
      </c>
      <c r="D8" s="106">
        <v>124690</v>
      </c>
      <c r="E8" s="106">
        <v>105678</v>
      </c>
      <c r="F8" s="128">
        <v>123271</v>
      </c>
      <c r="G8" s="106">
        <v>106640</v>
      </c>
      <c r="H8" s="106">
        <v>92032</v>
      </c>
      <c r="I8" s="129"/>
      <c r="J8" s="130">
        <v>139171</v>
      </c>
      <c r="K8" s="130">
        <v>236339</v>
      </c>
      <c r="L8" s="130">
        <v>128894</v>
      </c>
      <c r="M8" s="130">
        <v>824597</v>
      </c>
      <c r="N8" s="129">
        <f>M8-L8</f>
        <v>695703</v>
      </c>
      <c r="O8" s="131">
        <f>N8/L8</f>
        <v>5.3974816515896782</v>
      </c>
      <c r="Q8" s="130">
        <v>776484.94</v>
      </c>
      <c r="R8" s="130">
        <v>866795.44</v>
      </c>
      <c r="S8" s="130">
        <v>909692</v>
      </c>
      <c r="T8" s="130">
        <v>907393</v>
      </c>
      <c r="U8" s="132">
        <f>S8-R8</f>
        <v>42896.560000000056</v>
      </c>
      <c r="V8" s="132">
        <f>U8/Q8</f>
        <v>5.5244548593563265E-2</v>
      </c>
      <c r="W8" s="132"/>
      <c r="X8" s="132"/>
      <c r="Y8" s="132">
        <v>873328</v>
      </c>
      <c r="Z8" s="132">
        <v>873328</v>
      </c>
      <c r="AA8" s="132">
        <v>868868</v>
      </c>
      <c r="AB8" s="132">
        <f>Y8-T8</f>
        <v>-34065</v>
      </c>
      <c r="AC8" s="132">
        <f>T8-S8</f>
        <v>-2299</v>
      </c>
      <c r="AD8" s="131">
        <f>AB8/T8</f>
        <v>-3.7541616477094267E-2</v>
      </c>
      <c r="AE8" s="133">
        <f>Z8-T8</f>
        <v>-34065</v>
      </c>
      <c r="AF8" s="131">
        <f>AE8/T8</f>
        <v>-3.7541616477094267E-2</v>
      </c>
      <c r="AG8" s="133">
        <f>AA8-T8</f>
        <v>-38525</v>
      </c>
      <c r="AH8" s="131">
        <f>AG8/T8</f>
        <v>-4.245679655893312E-2</v>
      </c>
      <c r="AI8" s="132">
        <v>945109</v>
      </c>
      <c r="AJ8" s="130">
        <v>945109</v>
      </c>
      <c r="AK8" s="130">
        <f>AI8-AA8</f>
        <v>76241</v>
      </c>
      <c r="AL8" s="134">
        <f>AK8/AA8</f>
        <v>8.7747505950270921E-2</v>
      </c>
      <c r="AM8" s="130">
        <f>AJ8-AA8</f>
        <v>76241</v>
      </c>
      <c r="AN8" s="134">
        <f>AM8/AA8</f>
        <v>8.7747505950270921E-2</v>
      </c>
      <c r="AO8" s="108">
        <v>942725</v>
      </c>
      <c r="AP8" s="108">
        <f>AO8-AA8</f>
        <v>73857</v>
      </c>
      <c r="AQ8" s="131">
        <f>AP8/AA8</f>
        <v>8.5003705971447907E-2</v>
      </c>
      <c r="AR8" s="132">
        <v>945109</v>
      </c>
      <c r="AS8" s="132">
        <f>AR8-AA8</f>
        <v>76241</v>
      </c>
      <c r="AT8" s="131">
        <f>AS8/AA8</f>
        <v>8.7747505950270921E-2</v>
      </c>
      <c r="AU8" s="108">
        <v>1203729</v>
      </c>
      <c r="AV8" s="108">
        <f>AY8</f>
        <v>897032</v>
      </c>
      <c r="AW8" s="108">
        <f>AV8-AO8</f>
        <v>-45693</v>
      </c>
      <c r="AX8" s="131">
        <f>AW8/AO8</f>
        <v>-4.8469065740274202E-2</v>
      </c>
      <c r="AY8" s="108">
        <v>897032</v>
      </c>
      <c r="AZ8" s="108">
        <f>AY8-AO8</f>
        <v>-45693</v>
      </c>
      <c r="BA8" s="131">
        <f>AZ8/AO8</f>
        <v>-4.8469065740274202E-2</v>
      </c>
      <c r="BB8" s="112">
        <f>+AV8-AY8</f>
        <v>0</v>
      </c>
      <c r="BC8" s="108">
        <v>832075</v>
      </c>
      <c r="BD8" s="108">
        <f>BC8-AY8</f>
        <v>-64957</v>
      </c>
      <c r="BE8" s="134">
        <f>BD8/AY8</f>
        <v>-7.2413247242015893E-2</v>
      </c>
      <c r="BF8" s="108">
        <v>957375</v>
      </c>
      <c r="BG8" s="108">
        <v>942039</v>
      </c>
      <c r="BH8" s="108">
        <v>948614</v>
      </c>
      <c r="BI8" s="108">
        <v>850236</v>
      </c>
      <c r="BJ8" s="108">
        <v>850236</v>
      </c>
      <c r="BK8" s="108">
        <v>850236</v>
      </c>
      <c r="BL8" s="108">
        <v>865089</v>
      </c>
      <c r="BM8" s="108">
        <v>883077.06</v>
      </c>
      <c r="BN8" s="108">
        <v>865089</v>
      </c>
      <c r="BO8" s="108">
        <v>0</v>
      </c>
      <c r="BP8" s="108">
        <f>BN8-BK8</f>
        <v>14853</v>
      </c>
      <c r="BQ8" s="134">
        <f>BP8/BK8</f>
        <v>1.746926735635753E-2</v>
      </c>
      <c r="BR8" s="111">
        <f>BO8-BN8</f>
        <v>-865089</v>
      </c>
      <c r="BS8" s="108">
        <v>842104.38</v>
      </c>
      <c r="BT8" s="108">
        <v>780664</v>
      </c>
      <c r="BU8" s="108">
        <v>780663.63</v>
      </c>
      <c r="BV8" s="108">
        <f>720264</f>
        <v>720264</v>
      </c>
      <c r="BW8" s="108">
        <f>1658239+16225</f>
        <v>1674464</v>
      </c>
      <c r="BX8" s="108">
        <v>872334.61</v>
      </c>
      <c r="BY8" s="108">
        <f>BW8</f>
        <v>1674464</v>
      </c>
      <c r="BZ8" s="108">
        <v>1658238.83</v>
      </c>
      <c r="CA8" s="108">
        <v>1742303</v>
      </c>
      <c r="CB8" s="108">
        <v>1686358.68</v>
      </c>
      <c r="CC8" s="108">
        <f>CB8</f>
        <v>1686358.68</v>
      </c>
      <c r="CD8" s="108">
        <v>1735905.23</v>
      </c>
      <c r="CE8" s="108">
        <f>CC8</f>
        <v>1686358.68</v>
      </c>
      <c r="CF8" s="135">
        <v>1623033.16</v>
      </c>
    </row>
    <row r="9" spans="1:84" x14ac:dyDescent="0.4">
      <c r="A9" s="124">
        <v>752</v>
      </c>
      <c r="B9" s="124">
        <f>B8+1</f>
        <v>3</v>
      </c>
      <c r="C9" s="127" t="s">
        <v>255</v>
      </c>
      <c r="D9" s="106">
        <v>8253</v>
      </c>
      <c r="E9" s="106">
        <v>26182</v>
      </c>
      <c r="F9" s="128">
        <v>7928</v>
      </c>
      <c r="G9" s="106">
        <v>34355</v>
      </c>
      <c r="H9" s="106">
        <v>81073</v>
      </c>
      <c r="I9" s="129"/>
      <c r="J9" s="130">
        <v>0</v>
      </c>
      <c r="K9" s="130">
        <v>35000</v>
      </c>
      <c r="L9" s="130">
        <v>44927</v>
      </c>
      <c r="M9" s="130">
        <v>6250</v>
      </c>
      <c r="N9" s="129">
        <f>M9-L9</f>
        <v>-38677</v>
      </c>
      <c r="O9" s="131">
        <f>N9/L9</f>
        <v>-0.86088543637456316</v>
      </c>
      <c r="Q9" s="130">
        <v>3488.75</v>
      </c>
      <c r="R9" s="130">
        <v>5929</v>
      </c>
      <c r="S9" s="130">
        <v>5000</v>
      </c>
      <c r="T9" s="130">
        <v>78</v>
      </c>
      <c r="U9" s="132">
        <f>S9-R9</f>
        <v>-929</v>
      </c>
      <c r="V9" s="132">
        <f>U9/Q9</f>
        <v>-0.26628448584736653</v>
      </c>
      <c r="W9" s="132"/>
      <c r="X9" s="132"/>
      <c r="Y9" s="132">
        <f>T9</f>
        <v>78</v>
      </c>
      <c r="Z9" s="132">
        <v>5000</v>
      </c>
      <c r="AA9" s="132">
        <v>71123</v>
      </c>
      <c r="AB9" s="132">
        <f>Y9-T9</f>
        <v>0</v>
      </c>
      <c r="AC9" s="132">
        <f>T9-S9</f>
        <v>-4922</v>
      </c>
      <c r="AD9" s="131">
        <f>AB9/T9</f>
        <v>0</v>
      </c>
      <c r="AE9" s="133">
        <f>Z9-T9</f>
        <v>4922</v>
      </c>
      <c r="AF9" s="131">
        <f>AE9/T9</f>
        <v>63.102564102564102</v>
      </c>
      <c r="AG9" s="133">
        <f>AA9-T9</f>
        <v>71045</v>
      </c>
      <c r="AH9" s="131">
        <f>AG9/T9</f>
        <v>910.83333333333337</v>
      </c>
      <c r="AI9" s="132">
        <v>25000</v>
      </c>
      <c r="AJ9" s="130">
        <v>15000</v>
      </c>
      <c r="AK9" s="130">
        <f>AI9-AA9</f>
        <v>-46123</v>
      </c>
      <c r="AL9" s="134">
        <f>AK9/AA9</f>
        <v>-0.6484962670303559</v>
      </c>
      <c r="AM9" s="130">
        <f>AJ9-AA9</f>
        <v>-56123</v>
      </c>
      <c r="AN9" s="134">
        <f>AM9/AA9</f>
        <v>-0.78909776021821354</v>
      </c>
      <c r="AO9" s="108">
        <v>24034</v>
      </c>
      <c r="AP9" s="108">
        <f>AO9-AA9</f>
        <v>-47089</v>
      </c>
      <c r="AQ9" s="131">
        <f>AP9/AA9</f>
        <v>-0.66207837127230296</v>
      </c>
      <c r="AR9" s="132">
        <v>15000</v>
      </c>
      <c r="AS9" s="132">
        <f>AR9-AA9</f>
        <v>-56123</v>
      </c>
      <c r="AT9" s="131">
        <f>AS9/AA9</f>
        <v>-0.78909776021821354</v>
      </c>
      <c r="AU9" s="108">
        <v>15000</v>
      </c>
      <c r="AV9" s="108">
        <f>42000-17000</f>
        <v>25000</v>
      </c>
      <c r="AW9" s="108">
        <f>AV9-AO9</f>
        <v>966</v>
      </c>
      <c r="AX9" s="131">
        <f>AW9/AO9</f>
        <v>4.0193059831904798E-2</v>
      </c>
      <c r="AY9" s="108">
        <v>49390</v>
      </c>
      <c r="AZ9" s="108">
        <f>AY9-AO9</f>
        <v>25356</v>
      </c>
      <c r="BA9" s="131">
        <f>AZ9/AO9</f>
        <v>1.0550054090039112</v>
      </c>
      <c r="BB9" s="112">
        <f>+AV9-AY9</f>
        <v>-24390</v>
      </c>
      <c r="BC9" s="108">
        <v>20000</v>
      </c>
      <c r="BD9" s="108">
        <f>BC9-AY9</f>
        <v>-29390</v>
      </c>
      <c r="BE9" s="134">
        <f>BD9/AY9</f>
        <v>-0.59505972869001822</v>
      </c>
      <c r="BF9" s="108">
        <v>24291</v>
      </c>
      <c r="BG9" s="108">
        <v>0</v>
      </c>
      <c r="BH9" s="108">
        <v>0</v>
      </c>
      <c r="BI9" s="108">
        <v>20000</v>
      </c>
      <c r="BJ9" s="108">
        <v>20000</v>
      </c>
      <c r="BK9" s="108">
        <v>20000</v>
      </c>
      <c r="BL9" s="108">
        <v>10000</v>
      </c>
      <c r="BM9" s="108">
        <v>12051.94</v>
      </c>
      <c r="BN9" s="108">
        <v>10000</v>
      </c>
      <c r="BO9" s="108">
        <v>0</v>
      </c>
      <c r="BP9" s="108">
        <f>BN9-BK9</f>
        <v>-10000</v>
      </c>
      <c r="BQ9" s="134">
        <f>BP9/BK9</f>
        <v>-0.5</v>
      </c>
      <c r="BR9" s="111">
        <f>BO9-BN9</f>
        <v>-10000</v>
      </c>
      <c r="BS9" s="108">
        <v>13454.23</v>
      </c>
      <c r="BT9" s="108">
        <v>18750</v>
      </c>
      <c r="BU9" s="108">
        <v>749.14</v>
      </c>
      <c r="BV9" s="108">
        <f>167438+2500</f>
        <v>169938</v>
      </c>
      <c r="BW9" s="108">
        <v>0</v>
      </c>
      <c r="BX9" s="108">
        <v>4664.47</v>
      </c>
      <c r="BY9" s="108">
        <f>BW9</f>
        <v>0</v>
      </c>
      <c r="BZ9" s="108">
        <v>5858.02</v>
      </c>
      <c r="CA9" s="108">
        <f>1184</f>
        <v>1184</v>
      </c>
      <c r="CB9" s="108">
        <v>0</v>
      </c>
      <c r="CC9" s="108">
        <f>CB9</f>
        <v>0</v>
      </c>
      <c r="CD9" s="108">
        <v>7729.96</v>
      </c>
      <c r="CE9" s="136">
        <v>27250</v>
      </c>
      <c r="CF9" s="136">
        <f>31500+1487.5+504.28</f>
        <v>33491.78</v>
      </c>
    </row>
    <row r="10" spans="1:84" x14ac:dyDescent="0.4">
      <c r="A10" s="124"/>
      <c r="B10" s="124" t="s">
        <v>256</v>
      </c>
      <c r="C10" s="127" t="s">
        <v>257</v>
      </c>
      <c r="D10" s="106"/>
      <c r="E10" s="106"/>
      <c r="F10" s="128"/>
      <c r="G10" s="106"/>
      <c r="H10" s="106"/>
      <c r="I10" s="129"/>
      <c r="J10" s="130"/>
      <c r="K10" s="130"/>
      <c r="L10" s="130"/>
      <c r="M10" s="130"/>
      <c r="N10" s="129"/>
      <c r="O10" s="131"/>
      <c r="Q10" s="130"/>
      <c r="R10" s="130"/>
      <c r="S10" s="130"/>
      <c r="T10" s="130"/>
      <c r="U10" s="132"/>
      <c r="V10" s="132"/>
      <c r="W10" s="132"/>
      <c r="X10" s="132"/>
      <c r="Y10" s="132"/>
      <c r="Z10" s="132"/>
      <c r="AA10" s="132"/>
      <c r="AB10" s="132"/>
      <c r="AC10" s="132"/>
      <c r="AD10" s="131"/>
      <c r="AE10" s="133"/>
      <c r="AF10" s="131"/>
      <c r="AG10" s="133"/>
      <c r="AH10" s="131"/>
      <c r="AI10" s="132"/>
      <c r="AJ10" s="130"/>
      <c r="AK10" s="130"/>
      <c r="AL10" s="134"/>
      <c r="AM10" s="130"/>
      <c r="AN10" s="134"/>
      <c r="AO10" s="108"/>
      <c r="AP10" s="108"/>
      <c r="AQ10" s="131"/>
      <c r="AR10" s="132"/>
      <c r="AS10" s="132"/>
      <c r="AT10" s="131"/>
      <c r="AU10" s="108"/>
      <c r="AV10" s="108"/>
      <c r="AW10" s="108"/>
      <c r="AX10" s="131"/>
      <c r="AY10" s="108"/>
      <c r="AZ10" s="108"/>
      <c r="BA10" s="131"/>
      <c r="BC10" s="108">
        <v>15797</v>
      </c>
      <c r="BD10" s="108">
        <f>BC10-AY10</f>
        <v>15797</v>
      </c>
      <c r="BE10" s="134"/>
      <c r="BF10" s="108">
        <v>14680</v>
      </c>
      <c r="BG10" s="108">
        <v>10975</v>
      </c>
      <c r="BH10" s="108">
        <v>11496</v>
      </c>
      <c r="BI10" s="108">
        <v>10000</v>
      </c>
      <c r="BJ10" s="108">
        <v>10000</v>
      </c>
      <c r="BK10" s="108">
        <v>10000</v>
      </c>
      <c r="BL10" s="108">
        <v>12000</v>
      </c>
      <c r="BM10" s="108">
        <v>13173.65</v>
      </c>
      <c r="BN10" s="108">
        <v>12000</v>
      </c>
      <c r="BO10" s="108">
        <v>0</v>
      </c>
      <c r="BP10" s="108">
        <f>BN10-BK10</f>
        <v>2000</v>
      </c>
      <c r="BQ10" s="134">
        <f>BP10/BK10</f>
        <v>0.2</v>
      </c>
      <c r="BR10" s="111">
        <f>BO10-BN10</f>
        <v>-12000</v>
      </c>
      <c r="BS10" s="108">
        <v>10529.03</v>
      </c>
      <c r="BT10" s="108">
        <v>8778</v>
      </c>
      <c r="BU10" s="108">
        <v>8778.11</v>
      </c>
      <c r="BV10" s="108">
        <v>8001</v>
      </c>
      <c r="BW10" s="108">
        <v>7196</v>
      </c>
      <c r="BX10" s="108">
        <v>8000.88</v>
      </c>
      <c r="BY10" s="108">
        <f>BW10</f>
        <v>7196</v>
      </c>
      <c r="BZ10" s="108">
        <v>7194.56</v>
      </c>
      <c r="CA10" s="108">
        <v>16856</v>
      </c>
      <c r="CB10" s="108">
        <v>7708.68</v>
      </c>
      <c r="CC10" s="108">
        <f>CB10</f>
        <v>7708.68</v>
      </c>
      <c r="CD10" s="108">
        <v>16856.150000000001</v>
      </c>
      <c r="CE10" s="108">
        <f>CC10</f>
        <v>7708.68</v>
      </c>
      <c r="CF10" s="108">
        <v>6341.9</v>
      </c>
    </row>
    <row r="11" spans="1:84" s="139" customFormat="1" x14ac:dyDescent="0.4">
      <c r="A11" s="124"/>
      <c r="B11" s="124" t="s">
        <v>258</v>
      </c>
      <c r="C11" s="127" t="s">
        <v>259</v>
      </c>
      <c r="D11" s="106"/>
      <c r="E11" s="106"/>
      <c r="F11" s="128"/>
      <c r="G11" s="137"/>
      <c r="H11" s="137"/>
      <c r="I11" s="129"/>
      <c r="J11" s="130">
        <v>9600</v>
      </c>
      <c r="K11" s="130"/>
      <c r="L11" s="130">
        <v>25619</v>
      </c>
      <c r="M11" s="130"/>
      <c r="N11" s="129"/>
      <c r="O11" s="138"/>
      <c r="Q11" s="130">
        <v>62975.37</v>
      </c>
      <c r="R11" s="132">
        <v>22000</v>
      </c>
      <c r="S11" s="132">
        <v>22000</v>
      </c>
      <c r="T11" s="130">
        <v>5072</v>
      </c>
      <c r="U11" s="132">
        <f>S11-R11</f>
        <v>0</v>
      </c>
      <c r="V11" s="132">
        <f>U11/Q11</f>
        <v>0</v>
      </c>
      <c r="W11" s="132"/>
      <c r="X11" s="132"/>
      <c r="Y11" s="130">
        <v>36000</v>
      </c>
      <c r="Z11" s="130">
        <v>36000</v>
      </c>
      <c r="AA11" s="130">
        <v>15000</v>
      </c>
      <c r="AB11" s="132">
        <f>Y11-T11</f>
        <v>30928</v>
      </c>
      <c r="AC11" s="132">
        <f>T11-S11</f>
        <v>-16928</v>
      </c>
      <c r="AD11" s="131">
        <f>AB11/T11</f>
        <v>6.0977917981072558</v>
      </c>
      <c r="AE11" s="133">
        <f>Z11-T11</f>
        <v>30928</v>
      </c>
      <c r="AF11" s="131">
        <f>AE11/T11</f>
        <v>6.0977917981072558</v>
      </c>
      <c r="AG11" s="133">
        <f>AA11-T11</f>
        <v>9928</v>
      </c>
      <c r="AH11" s="131">
        <f>AG11/T11</f>
        <v>1.9574132492113565</v>
      </c>
      <c r="AI11" s="130">
        <v>60000</v>
      </c>
      <c r="AJ11" s="130">
        <v>15000</v>
      </c>
      <c r="AK11" s="130">
        <f>AI11-AA11</f>
        <v>45000</v>
      </c>
      <c r="AL11" s="134">
        <f>AK11/AA11</f>
        <v>3</v>
      </c>
      <c r="AM11" s="130">
        <f>AJ11-AA11</f>
        <v>0</v>
      </c>
      <c r="AN11" s="134">
        <f>AM11/AA11</f>
        <v>0</v>
      </c>
      <c r="AO11" s="108">
        <v>6636</v>
      </c>
      <c r="AP11" s="108">
        <f>AO11-AA11</f>
        <v>-8364</v>
      </c>
      <c r="AQ11" s="131">
        <f>AP11/AA11</f>
        <v>-0.55759999999999998</v>
      </c>
      <c r="AR11" s="130">
        <v>15000</v>
      </c>
      <c r="AS11" s="132">
        <f>AR11-AA11</f>
        <v>0</v>
      </c>
      <c r="AT11" s="131">
        <f>AS11/AA11</f>
        <v>0</v>
      </c>
      <c r="AU11" s="108">
        <v>15000</v>
      </c>
      <c r="AV11" s="108">
        <v>17000</v>
      </c>
      <c r="AW11" s="108">
        <f>AV11-AO11</f>
        <v>10364</v>
      </c>
      <c r="AX11" s="131">
        <f>AW11/AO11</f>
        <v>1.5617842073538275</v>
      </c>
      <c r="AY11" s="108">
        <v>0</v>
      </c>
      <c r="AZ11" s="108">
        <f>AY11-AO11</f>
        <v>-6636</v>
      </c>
      <c r="BA11" s="131">
        <f>AZ11/AO11</f>
        <v>-1</v>
      </c>
      <c r="BB11" s="112">
        <f>+AV11-AY11</f>
        <v>17000</v>
      </c>
      <c r="BC11" s="108">
        <v>22482</v>
      </c>
      <c r="BD11" s="108">
        <f>BC11-AY11</f>
        <v>22482</v>
      </c>
      <c r="BE11" s="134" t="e">
        <f>BD11/AY11</f>
        <v>#DIV/0!</v>
      </c>
      <c r="BF11" s="108">
        <v>450</v>
      </c>
      <c r="BG11" s="108">
        <v>0</v>
      </c>
      <c r="BH11" s="108">
        <v>0</v>
      </c>
      <c r="BI11" s="108">
        <v>15000</v>
      </c>
      <c r="BJ11" s="108">
        <v>0</v>
      </c>
      <c r="BK11" s="108">
        <v>0</v>
      </c>
      <c r="BL11" s="108">
        <v>2500</v>
      </c>
      <c r="BM11" s="108">
        <v>0</v>
      </c>
      <c r="BN11" s="108">
        <v>2500</v>
      </c>
      <c r="BO11" s="108">
        <v>0</v>
      </c>
      <c r="BP11" s="108">
        <f>BN11-BK11</f>
        <v>2500</v>
      </c>
      <c r="BQ11" s="134"/>
      <c r="BS11" s="108">
        <v>500</v>
      </c>
      <c r="BT11" s="108">
        <v>0</v>
      </c>
      <c r="BU11" s="108">
        <v>0</v>
      </c>
      <c r="BV11" s="108">
        <v>0</v>
      </c>
      <c r="BW11" s="108"/>
      <c r="BX11" s="108">
        <v>0</v>
      </c>
      <c r="BY11" s="108">
        <v>0</v>
      </c>
      <c r="BZ11" s="108">
        <v>0</v>
      </c>
      <c r="CA11" s="108">
        <v>0</v>
      </c>
      <c r="CB11" s="108">
        <v>0</v>
      </c>
      <c r="CC11" s="108">
        <f>CB11</f>
        <v>0</v>
      </c>
      <c r="CD11" s="108">
        <v>0</v>
      </c>
      <c r="CE11" s="108">
        <f>CC11</f>
        <v>0</v>
      </c>
      <c r="CF11" s="108">
        <v>0</v>
      </c>
    </row>
    <row r="12" spans="1:84" x14ac:dyDescent="0.4">
      <c r="A12" s="124"/>
      <c r="B12" s="124"/>
      <c r="C12" s="127"/>
      <c r="D12" s="106"/>
      <c r="E12" s="106"/>
      <c r="F12" s="128"/>
      <c r="G12" s="112"/>
      <c r="H12" s="112"/>
      <c r="I12" s="140"/>
      <c r="J12" s="140"/>
      <c r="K12" s="140"/>
      <c r="L12" s="140"/>
      <c r="M12" s="140"/>
      <c r="N12" s="129"/>
      <c r="O12" s="131"/>
      <c r="R12" s="130"/>
      <c r="S12" s="130"/>
      <c r="T12" s="130"/>
      <c r="U12" s="132"/>
      <c r="V12" s="132"/>
      <c r="W12" s="132"/>
      <c r="X12" s="132"/>
      <c r="Y12" s="132"/>
      <c r="Z12" s="132"/>
      <c r="AA12" s="132"/>
      <c r="AB12" s="132"/>
      <c r="AC12" s="132"/>
      <c r="AS12" s="132"/>
      <c r="AT12" s="141"/>
      <c r="AU12" s="108"/>
      <c r="AV12" s="108"/>
      <c r="AW12" s="108"/>
      <c r="AX12" s="108"/>
      <c r="AY12" s="108"/>
    </row>
    <row r="13" spans="1:84" ht="12.75" customHeight="1" x14ac:dyDescent="0.4">
      <c r="A13" s="124" t="s">
        <v>134</v>
      </c>
      <c r="B13" s="124"/>
      <c r="C13" s="142" t="s">
        <v>260</v>
      </c>
      <c r="D13" s="132">
        <f>SUM(D7:D9)</f>
        <v>440943</v>
      </c>
      <c r="E13" s="132">
        <f>SUM(E6:E9)</f>
        <v>426204</v>
      </c>
      <c r="F13" s="132">
        <f>SUM(F6:F9)</f>
        <v>480606</v>
      </c>
      <c r="G13" s="132">
        <f>SUM(G6:G9)</f>
        <v>446465</v>
      </c>
      <c r="H13" s="132">
        <f>SUM(H6:H9)</f>
        <v>564133</v>
      </c>
      <c r="I13" s="132" t="e">
        <f>#REF!-G13</f>
        <v>#REF!</v>
      </c>
      <c r="J13" s="132">
        <f>SUM(J7:J9)</f>
        <v>571403</v>
      </c>
      <c r="K13" s="132">
        <f>SUM(K7:K9)</f>
        <v>773254</v>
      </c>
      <c r="L13" s="132">
        <f>SUM(L7:L9)</f>
        <v>654077</v>
      </c>
      <c r="M13" s="132">
        <f>SUM(M7:M9)</f>
        <v>2115632</v>
      </c>
      <c r="N13" s="130">
        <f>M13-L13</f>
        <v>1461555</v>
      </c>
      <c r="O13" s="131">
        <f>N13/L13</f>
        <v>2.2345304910583921</v>
      </c>
      <c r="Q13" s="132">
        <f t="shared" ref="Q13:AK13" si="0">SUM(Q7:Q9)</f>
        <v>1957860.1099999999</v>
      </c>
      <c r="R13" s="130">
        <f t="shared" si="0"/>
        <v>2266984.54</v>
      </c>
      <c r="S13" s="130">
        <f t="shared" si="0"/>
        <v>2450707</v>
      </c>
      <c r="T13" s="130">
        <f t="shared" si="0"/>
        <v>2443484</v>
      </c>
      <c r="U13" s="130">
        <f t="shared" si="0"/>
        <v>183722.45999999996</v>
      </c>
      <c r="V13" s="130">
        <f t="shared" si="0"/>
        <v>-9.0693104492118204E-2</v>
      </c>
      <c r="W13" s="130">
        <f t="shared" si="0"/>
        <v>0</v>
      </c>
      <c r="X13" s="130">
        <f t="shared" si="0"/>
        <v>0</v>
      </c>
      <c r="Y13" s="130">
        <f t="shared" si="0"/>
        <v>2416940</v>
      </c>
      <c r="Z13" s="130">
        <f t="shared" si="0"/>
        <v>2421862</v>
      </c>
      <c r="AA13" s="130">
        <f t="shared" si="0"/>
        <v>2469696</v>
      </c>
      <c r="AB13" s="130">
        <f t="shared" si="0"/>
        <v>-26544</v>
      </c>
      <c r="AC13" s="130">
        <f t="shared" si="0"/>
        <v>-7223</v>
      </c>
      <c r="AD13" s="130">
        <f t="shared" si="0"/>
        <v>-3.2645173543343058E-2</v>
      </c>
      <c r="AE13" s="130">
        <f t="shared" si="0"/>
        <v>-21622</v>
      </c>
      <c r="AF13" s="130">
        <f t="shared" si="0"/>
        <v>63.069918929020758</v>
      </c>
      <c r="AG13" s="130">
        <f t="shared" si="0"/>
        <v>26212</v>
      </c>
      <c r="AH13" s="130">
        <f t="shared" si="0"/>
        <v>910.78676980069861</v>
      </c>
      <c r="AI13" s="130">
        <f t="shared" si="0"/>
        <v>2671405</v>
      </c>
      <c r="AJ13" s="130">
        <f t="shared" si="0"/>
        <v>2661405</v>
      </c>
      <c r="AK13" s="130">
        <f t="shared" si="0"/>
        <v>201709</v>
      </c>
      <c r="AL13" s="134">
        <f>AK13/AA13</f>
        <v>8.1673614890253696E-2</v>
      </c>
      <c r="AM13" s="130">
        <f>AJ13-AA13</f>
        <v>191709</v>
      </c>
      <c r="AN13" s="134">
        <f>AM13/AA13</f>
        <v>7.7624533545829127E-2</v>
      </c>
      <c r="AO13" s="130">
        <f>SUM(AO7:AO9)</f>
        <v>2665671</v>
      </c>
      <c r="AP13" s="130">
        <f>SUM(AP7:AP9)</f>
        <v>195975</v>
      </c>
      <c r="AQ13" s="131">
        <f>AP13/AA13</f>
        <v>7.9351871647360642E-2</v>
      </c>
      <c r="AR13" s="130">
        <f>SUM(AR7:AR9)</f>
        <v>2661405</v>
      </c>
      <c r="AS13" s="132">
        <f>AR13-AA13</f>
        <v>191709</v>
      </c>
      <c r="AT13" s="131">
        <f>AS13/AA13</f>
        <v>7.7624533545829127E-2</v>
      </c>
      <c r="AU13" s="130">
        <f>SUM(AU7:AU9)</f>
        <v>3248442</v>
      </c>
      <c r="AV13" s="108">
        <f>AY13</f>
        <v>2697793</v>
      </c>
      <c r="AW13" s="108">
        <f>AV13-AO13</f>
        <v>32122</v>
      </c>
      <c r="AX13" s="131">
        <f>AW13/AO13</f>
        <v>1.2050249261818132E-2</v>
      </c>
      <c r="AY13" s="130">
        <f>SUM(AY7:AY9)</f>
        <v>2697793</v>
      </c>
      <c r="AZ13" s="108">
        <f>AY13-AO13</f>
        <v>32122</v>
      </c>
      <c r="BA13" s="131">
        <f>AZ13/AO13</f>
        <v>1.2050249261818132E-2</v>
      </c>
      <c r="BB13" s="112">
        <f>+AV13-AY13</f>
        <v>0</v>
      </c>
      <c r="BC13" s="108">
        <f>SUM(BC7:BC11)</f>
        <v>2664148</v>
      </c>
      <c r="BD13" s="108">
        <f>BC13-AY13</f>
        <v>-33645</v>
      </c>
      <c r="BE13" s="134">
        <f>BD13/AY13</f>
        <v>-1.2471305248401194E-2</v>
      </c>
      <c r="BF13" s="108">
        <f t="shared" ref="BF13:BO13" si="1">SUM(BF7:BF11)</f>
        <v>2821195</v>
      </c>
      <c r="BG13" s="108">
        <f t="shared" si="1"/>
        <v>2936226</v>
      </c>
      <c r="BH13" s="108">
        <f t="shared" si="1"/>
        <v>2898326</v>
      </c>
      <c r="BI13" s="108">
        <f t="shared" si="1"/>
        <v>2790868</v>
      </c>
      <c r="BJ13" s="108">
        <f t="shared" si="1"/>
        <v>2775868</v>
      </c>
      <c r="BK13" s="108">
        <f t="shared" si="1"/>
        <v>2775868</v>
      </c>
      <c r="BL13" s="108">
        <f t="shared" si="1"/>
        <v>2934410</v>
      </c>
      <c r="BM13" s="108">
        <f t="shared" si="1"/>
        <v>2778088.53</v>
      </c>
      <c r="BN13" s="108">
        <f t="shared" si="1"/>
        <v>2934410</v>
      </c>
      <c r="BO13" s="108">
        <f t="shared" si="1"/>
        <v>0</v>
      </c>
      <c r="BP13" s="108">
        <f>BN13-BK13</f>
        <v>158542</v>
      </c>
      <c r="BQ13" s="134">
        <f>BP13/BK13</f>
        <v>5.7114387283545183E-2</v>
      </c>
      <c r="BS13" s="108">
        <f t="shared" ref="BS13:CF13" si="2">SUM(BS7:BS11)</f>
        <v>2951258.34</v>
      </c>
      <c r="BT13" s="108">
        <f t="shared" si="2"/>
        <v>2863179</v>
      </c>
      <c r="BU13" s="108">
        <f t="shared" si="2"/>
        <v>2845177.61</v>
      </c>
      <c r="BV13" s="108">
        <f t="shared" si="2"/>
        <v>2978056</v>
      </c>
      <c r="BW13" s="108">
        <f t="shared" si="2"/>
        <v>4557920</v>
      </c>
      <c r="BX13" s="108">
        <f t="shared" si="2"/>
        <v>2964852.62</v>
      </c>
      <c r="BY13" s="108">
        <f t="shared" si="2"/>
        <v>4557920</v>
      </c>
      <c r="BZ13" s="108">
        <f t="shared" si="2"/>
        <v>4541864.5599999996</v>
      </c>
      <c r="CA13" s="108">
        <f t="shared" si="2"/>
        <v>4858015</v>
      </c>
      <c r="CB13" s="108">
        <f t="shared" si="2"/>
        <v>4796858.2399999993</v>
      </c>
      <c r="CC13" s="108">
        <f t="shared" si="2"/>
        <v>4796858.2399999993</v>
      </c>
      <c r="CD13" s="108">
        <f t="shared" si="2"/>
        <v>4858162.87</v>
      </c>
      <c r="CE13" s="108">
        <f t="shared" si="2"/>
        <v>4824108.2399999993</v>
      </c>
      <c r="CF13" s="108">
        <f t="shared" si="2"/>
        <v>4758052.5000000009</v>
      </c>
    </row>
    <row r="14" spans="1:84" x14ac:dyDescent="0.4">
      <c r="A14" s="124" t="s">
        <v>134</v>
      </c>
      <c r="B14" s="124"/>
      <c r="C14" s="127"/>
      <c r="D14" s="106"/>
      <c r="E14" s="106"/>
      <c r="F14" s="128"/>
      <c r="G14" s="112"/>
      <c r="H14" s="112"/>
      <c r="I14" s="140"/>
      <c r="N14" s="129"/>
      <c r="T14" s="130"/>
      <c r="U14" s="132"/>
      <c r="V14" s="132"/>
      <c r="W14" s="132"/>
      <c r="X14" s="132"/>
      <c r="Y14" s="132"/>
      <c r="Z14" s="132"/>
      <c r="AA14" s="132"/>
      <c r="AB14" s="132"/>
      <c r="AC14" s="132"/>
      <c r="AU14" s="108"/>
      <c r="AV14" s="108"/>
      <c r="AW14" s="108"/>
      <c r="AX14" s="108"/>
      <c r="AY14" s="108"/>
    </row>
    <row r="15" spans="1:84" x14ac:dyDescent="0.4">
      <c r="A15" s="124" t="s">
        <v>134</v>
      </c>
      <c r="B15" s="124"/>
      <c r="C15" s="142"/>
      <c r="D15" s="132"/>
      <c r="E15" s="132"/>
      <c r="F15" s="128"/>
      <c r="G15" s="112"/>
      <c r="H15" s="112"/>
      <c r="I15" s="140"/>
      <c r="N15" s="129"/>
      <c r="T15" s="130"/>
      <c r="U15" s="132"/>
      <c r="V15" s="132"/>
      <c r="W15" s="132"/>
      <c r="X15" s="132"/>
      <c r="Y15" s="132"/>
      <c r="Z15" s="132"/>
      <c r="AA15" s="132"/>
      <c r="AB15" s="132"/>
      <c r="AC15" s="132"/>
      <c r="AU15" s="108"/>
      <c r="AV15" s="108"/>
      <c r="AW15" s="108"/>
      <c r="AX15" s="108"/>
      <c r="AY15" s="108"/>
    </row>
    <row r="16" spans="1:84" s="141" customFormat="1" x14ac:dyDescent="0.4">
      <c r="A16" s="124" t="s">
        <v>134</v>
      </c>
      <c r="B16" s="124"/>
      <c r="C16" s="125" t="s">
        <v>261</v>
      </c>
      <c r="D16" s="106"/>
      <c r="E16" s="106"/>
      <c r="F16" s="128"/>
      <c r="G16" s="143"/>
      <c r="H16" s="143"/>
      <c r="I16" s="140"/>
      <c r="N16" s="129"/>
      <c r="T16" s="130"/>
      <c r="U16" s="132"/>
      <c r="V16" s="132"/>
      <c r="W16" s="132"/>
      <c r="X16" s="132"/>
      <c r="Y16" s="132"/>
      <c r="Z16" s="132"/>
      <c r="AA16" s="132"/>
      <c r="AB16" s="132"/>
      <c r="AC16" s="132"/>
      <c r="AU16" s="108"/>
      <c r="AV16" s="108"/>
      <c r="AW16" s="108"/>
      <c r="AX16" s="108"/>
      <c r="AY16" s="108"/>
      <c r="BB16" s="143"/>
      <c r="BS16" s="108"/>
    </row>
    <row r="17" spans="1:84" s="141" customFormat="1" ht="12.75" customHeight="1" x14ac:dyDescent="0.4">
      <c r="A17" s="124">
        <v>945</v>
      </c>
      <c r="B17" s="124">
        <v>4</v>
      </c>
      <c r="C17" s="127" t="s">
        <v>262</v>
      </c>
      <c r="D17" s="106">
        <v>71543</v>
      </c>
      <c r="E17" s="106">
        <v>72709</v>
      </c>
      <c r="F17" s="128">
        <v>76770</v>
      </c>
      <c r="G17" s="106">
        <v>76275</v>
      </c>
      <c r="H17" s="106">
        <v>87042</v>
      </c>
      <c r="I17" s="129"/>
      <c r="J17" s="130">
        <v>119392</v>
      </c>
      <c r="K17" s="130">
        <v>100000</v>
      </c>
      <c r="L17" s="130">
        <v>128850</v>
      </c>
      <c r="M17" s="130">
        <v>142952</v>
      </c>
      <c r="N17" s="129">
        <f t="shared" ref="N17:N29" si="3">M17-L17</f>
        <v>14102</v>
      </c>
      <c r="O17" s="138">
        <f t="shared" ref="O17:O27" si="4">N17/L17</f>
        <v>0.10944509119130773</v>
      </c>
      <c r="Q17" s="130">
        <v>121955</v>
      </c>
      <c r="R17" s="130">
        <v>142747.91</v>
      </c>
      <c r="S17" s="130">
        <v>145475</v>
      </c>
      <c r="T17" s="130">
        <v>158764</v>
      </c>
      <c r="U17" s="132">
        <f t="shared" ref="U17:U29" si="5">S17-R17</f>
        <v>2727.0899999999965</v>
      </c>
      <c r="V17" s="132">
        <f t="shared" ref="V17:V24" si="6">U17/Q17</f>
        <v>2.2361444795211318E-2</v>
      </c>
      <c r="W17" s="132"/>
      <c r="X17" s="132"/>
      <c r="Y17" s="132">
        <v>167262</v>
      </c>
      <c r="Z17" s="132">
        <v>167262</v>
      </c>
      <c r="AA17" s="132">
        <v>161594</v>
      </c>
      <c r="AB17" s="132">
        <f t="shared" ref="AB17:AB29" si="7">Y17-T17</f>
        <v>8498</v>
      </c>
      <c r="AC17" s="132">
        <f t="shared" ref="AC17:AC29" si="8">T17-S17</f>
        <v>13289</v>
      </c>
      <c r="AD17" s="131">
        <f t="shared" ref="AD17:AD29" si="9">AB17/T17</f>
        <v>5.3525988259303117E-2</v>
      </c>
      <c r="AE17" s="133">
        <f t="shared" ref="AE17:AE29" si="10">Z17-T17</f>
        <v>8498</v>
      </c>
      <c r="AF17" s="131">
        <f t="shared" ref="AF17:AF29" si="11">AE17/T17</f>
        <v>5.3525988259303117E-2</v>
      </c>
      <c r="AG17" s="133">
        <f t="shared" ref="AG17:AG29" si="12">AA17-T17</f>
        <v>2830</v>
      </c>
      <c r="AH17" s="131">
        <f t="shared" ref="AH17:AH29" si="13">AG17/T17</f>
        <v>1.7825199667430902E-2</v>
      </c>
      <c r="AI17" s="132">
        <v>176000</v>
      </c>
      <c r="AJ17" s="132">
        <v>176000</v>
      </c>
      <c r="AK17" s="130">
        <f t="shared" ref="AK17:AK29" si="14">AI17-AA17</f>
        <v>14406</v>
      </c>
      <c r="AL17" s="134">
        <f t="shared" ref="AL17:AL24" si="15">AK17/AA17</f>
        <v>8.9149349604564526E-2</v>
      </c>
      <c r="AM17" s="130">
        <f t="shared" ref="AM17:AM29" si="16">AJ17-AA17</f>
        <v>14406</v>
      </c>
      <c r="AN17" s="134">
        <f t="shared" ref="AN17:AN24" si="17">AM17/AA17</f>
        <v>8.9149349604564526E-2</v>
      </c>
      <c r="AO17" s="108">
        <v>142190</v>
      </c>
      <c r="AP17" s="108">
        <f t="shared" ref="AP17:AP29" si="18">AO17-AA17</f>
        <v>-19404</v>
      </c>
      <c r="AQ17" s="131">
        <f t="shared" ref="AQ17:AQ24" si="19">AP17/AA17</f>
        <v>-0.12007871579390324</v>
      </c>
      <c r="AR17" s="132">
        <v>176000</v>
      </c>
      <c r="AS17" s="132">
        <f t="shared" ref="AS17:AS29" si="20">AR17-AA17</f>
        <v>14406</v>
      </c>
      <c r="AT17" s="131">
        <f t="shared" ref="AT17:AT24" si="21">AS17/AA17</f>
        <v>8.9149349604564526E-2</v>
      </c>
      <c r="AU17" s="108">
        <v>176000</v>
      </c>
      <c r="AV17" s="108">
        <f>AY17</f>
        <v>147044</v>
      </c>
      <c r="AW17" s="108">
        <f t="shared" ref="AW17:AW29" si="22">AV17-AO17</f>
        <v>4854</v>
      </c>
      <c r="AX17" s="131">
        <f t="shared" ref="AX17:AX24" si="23">AW17/AO17</f>
        <v>3.4137421759617412E-2</v>
      </c>
      <c r="AY17" s="108">
        <v>147044</v>
      </c>
      <c r="AZ17" s="108">
        <f t="shared" ref="AZ17:AZ29" si="24">AY17-AO17</f>
        <v>4854</v>
      </c>
      <c r="BA17" s="131">
        <f t="shared" ref="BA17:BA24" si="25">AZ17/AO17</f>
        <v>3.4137421759617412E-2</v>
      </c>
      <c r="BB17" s="112">
        <f t="shared" ref="BB17:BB29" si="26">+AV17-AY17</f>
        <v>0</v>
      </c>
      <c r="BC17" s="108">
        <v>140000</v>
      </c>
      <c r="BD17" s="108">
        <f t="shared" ref="BD17:BD29" si="27">BC17-AY17</f>
        <v>-7044</v>
      </c>
      <c r="BE17" s="134">
        <f t="shared" ref="BE17:BE29" si="28">BD17/AY17</f>
        <v>-4.7904028726095588E-2</v>
      </c>
      <c r="BF17" s="108">
        <v>135696</v>
      </c>
      <c r="BG17" s="108">
        <v>142800</v>
      </c>
      <c r="BH17" s="108">
        <v>136797</v>
      </c>
      <c r="BI17" s="108">
        <v>143914</v>
      </c>
      <c r="BJ17" s="108">
        <v>143914</v>
      </c>
      <c r="BK17" s="108">
        <v>143914</v>
      </c>
      <c r="BL17" s="108">
        <v>193726</v>
      </c>
      <c r="BM17" s="108">
        <f>185846.75+2154.45</f>
        <v>188001.2</v>
      </c>
      <c r="BN17" s="108">
        <v>193726</v>
      </c>
      <c r="BO17" s="108">
        <v>0</v>
      </c>
      <c r="BP17" s="108">
        <f t="shared" ref="BP17:BP31" si="29">BN17-BK17</f>
        <v>49812</v>
      </c>
      <c r="BQ17" s="134">
        <f t="shared" ref="BQ17:BQ29" si="30">BP17/BK17</f>
        <v>0.34612337924037967</v>
      </c>
      <c r="BR17" s="111">
        <f t="shared" ref="BR17:BR30" si="31">BO17-BN17</f>
        <v>-193726</v>
      </c>
      <c r="BS17" s="108">
        <v>207635.45</v>
      </c>
      <c r="BT17" s="108">
        <v>199304</v>
      </c>
      <c r="BU17" s="108">
        <v>179203.58</v>
      </c>
      <c r="BV17" s="108">
        <v>203200</v>
      </c>
      <c r="BW17" s="108">
        <v>210364</v>
      </c>
      <c r="BX17" s="108">
        <v>193556.64</v>
      </c>
      <c r="BY17" s="108">
        <f t="shared" ref="BY17:BY25" si="32">BW17</f>
        <v>210364</v>
      </c>
      <c r="BZ17" s="108">
        <v>185537.47</v>
      </c>
      <c r="CA17" s="108">
        <v>194892</v>
      </c>
      <c r="CB17" s="108">
        <v>232384.65</v>
      </c>
      <c r="CC17" s="108">
        <f>CB17</f>
        <v>232384.65</v>
      </c>
      <c r="CD17" s="108">
        <v>199800.66</v>
      </c>
      <c r="CE17" s="108">
        <f>CC17</f>
        <v>232384.65</v>
      </c>
      <c r="CF17" s="108">
        <v>232384.65</v>
      </c>
    </row>
    <row r="18" spans="1:84" s="141" customFormat="1" ht="12.75" customHeight="1" x14ac:dyDescent="0.4">
      <c r="A18" s="124">
        <v>912</v>
      </c>
      <c r="B18" s="124">
        <f t="shared" ref="B18:B25" si="33">B17+1</f>
        <v>5</v>
      </c>
      <c r="C18" s="127" t="s">
        <v>263</v>
      </c>
      <c r="D18" s="144">
        <v>20731</v>
      </c>
      <c r="E18" s="144">
        <v>25376</v>
      </c>
      <c r="F18" s="145">
        <v>37139</v>
      </c>
      <c r="G18" s="144">
        <v>45001</v>
      </c>
      <c r="H18" s="144">
        <v>72948</v>
      </c>
      <c r="I18" s="146"/>
      <c r="J18" s="147">
        <v>88940</v>
      </c>
      <c r="K18" s="147">
        <v>100000</v>
      </c>
      <c r="L18" s="147">
        <v>98299</v>
      </c>
      <c r="M18" s="147">
        <v>121702</v>
      </c>
      <c r="N18" s="146">
        <f t="shared" si="3"/>
        <v>23403</v>
      </c>
      <c r="O18" s="148">
        <f t="shared" si="4"/>
        <v>0.23807973631471327</v>
      </c>
      <c r="P18" s="149"/>
      <c r="Q18" s="147">
        <v>58911</v>
      </c>
      <c r="R18" s="147">
        <v>54475</v>
      </c>
      <c r="S18" s="147">
        <v>68043</v>
      </c>
      <c r="T18" s="147">
        <v>64620</v>
      </c>
      <c r="U18" s="150">
        <f t="shared" si="5"/>
        <v>13568</v>
      </c>
      <c r="V18" s="150">
        <f t="shared" si="6"/>
        <v>0.2303135237901241</v>
      </c>
      <c r="W18" s="150"/>
      <c r="X18" s="150"/>
      <c r="Y18" s="150">
        <v>73486</v>
      </c>
      <c r="Z18" s="150">
        <v>73486</v>
      </c>
      <c r="AA18" s="150">
        <v>89604</v>
      </c>
      <c r="AB18" s="150">
        <f t="shared" si="7"/>
        <v>8866</v>
      </c>
      <c r="AC18" s="150">
        <f t="shared" si="8"/>
        <v>-3423</v>
      </c>
      <c r="AD18" s="151">
        <f t="shared" si="9"/>
        <v>0.13720210461157537</v>
      </c>
      <c r="AE18" s="152">
        <f t="shared" si="10"/>
        <v>8866</v>
      </c>
      <c r="AF18" s="151">
        <f t="shared" si="11"/>
        <v>0.13720210461157537</v>
      </c>
      <c r="AG18" s="152">
        <f t="shared" si="12"/>
        <v>24984</v>
      </c>
      <c r="AH18" s="151">
        <f t="shared" si="13"/>
        <v>0.38662952646239557</v>
      </c>
      <c r="AI18" s="150">
        <v>95000</v>
      </c>
      <c r="AJ18" s="150">
        <v>90983</v>
      </c>
      <c r="AK18" s="147">
        <f t="shared" si="14"/>
        <v>5396</v>
      </c>
      <c r="AL18" s="153">
        <f t="shared" si="15"/>
        <v>6.0220525869380828E-2</v>
      </c>
      <c r="AM18" s="147">
        <f t="shared" si="16"/>
        <v>1379</v>
      </c>
      <c r="AN18" s="153">
        <f t="shared" si="17"/>
        <v>1.5389937949198696E-2</v>
      </c>
      <c r="AO18" s="108">
        <v>92412</v>
      </c>
      <c r="AP18" s="108">
        <f t="shared" si="18"/>
        <v>2808</v>
      </c>
      <c r="AQ18" s="131">
        <f t="shared" si="19"/>
        <v>3.1337886701486538E-2</v>
      </c>
      <c r="AR18" s="132">
        <v>90983</v>
      </c>
      <c r="AS18" s="132">
        <f t="shared" si="20"/>
        <v>1379</v>
      </c>
      <c r="AT18" s="131">
        <f t="shared" si="21"/>
        <v>1.5389937949198696E-2</v>
      </c>
      <c r="AU18" s="108">
        <v>97000</v>
      </c>
      <c r="AV18" s="108">
        <f>AY18</f>
        <v>83579</v>
      </c>
      <c r="AW18" s="108">
        <f t="shared" si="22"/>
        <v>-8833</v>
      </c>
      <c r="AX18" s="131">
        <f t="shared" si="23"/>
        <v>-9.5582824741375583E-2</v>
      </c>
      <c r="AY18" s="108">
        <v>83579</v>
      </c>
      <c r="AZ18" s="108">
        <f t="shared" si="24"/>
        <v>-8833</v>
      </c>
      <c r="BA18" s="131">
        <f t="shared" si="25"/>
        <v>-9.5582824741375583E-2</v>
      </c>
      <c r="BB18" s="112">
        <f t="shared" si="26"/>
        <v>0</v>
      </c>
      <c r="BC18" s="108">
        <v>85000</v>
      </c>
      <c r="BD18" s="108">
        <f t="shared" si="27"/>
        <v>1421</v>
      </c>
      <c r="BE18" s="134">
        <f t="shared" si="28"/>
        <v>1.700187846229316E-2</v>
      </c>
      <c r="BF18" s="108">
        <f>BC18</f>
        <v>85000</v>
      </c>
      <c r="BG18" s="108">
        <v>85000</v>
      </c>
      <c r="BH18" s="108">
        <v>55293</v>
      </c>
      <c r="BI18" s="108">
        <v>56675</v>
      </c>
      <c r="BJ18" s="108">
        <v>56675</v>
      </c>
      <c r="BK18" s="108">
        <v>56675</v>
      </c>
      <c r="BL18" s="108">
        <v>56675</v>
      </c>
      <c r="BM18" s="108">
        <v>50359.85</v>
      </c>
      <c r="BN18" s="108">
        <v>56675</v>
      </c>
      <c r="BO18" s="108">
        <v>0</v>
      </c>
      <c r="BP18" s="108">
        <f t="shared" si="29"/>
        <v>0</v>
      </c>
      <c r="BQ18" s="134">
        <f t="shared" si="30"/>
        <v>0</v>
      </c>
      <c r="BR18" s="111">
        <f t="shared" si="31"/>
        <v>-56675</v>
      </c>
      <c r="BS18" s="108">
        <v>46860</v>
      </c>
      <c r="BT18" s="108">
        <v>58942</v>
      </c>
      <c r="BU18" s="108">
        <v>49686.01</v>
      </c>
      <c r="BV18" s="108">
        <v>58942</v>
      </c>
      <c r="BW18" s="108">
        <v>61889</v>
      </c>
      <c r="BX18" s="108">
        <v>59131.26</v>
      </c>
      <c r="BY18" s="108">
        <f t="shared" si="32"/>
        <v>61889</v>
      </c>
      <c r="BZ18" s="108">
        <v>78869.649999999994</v>
      </c>
      <c r="CA18" s="108">
        <v>100414</v>
      </c>
      <c r="CB18" s="108">
        <v>126527.5</v>
      </c>
      <c r="CC18" s="108">
        <f>CB18</f>
        <v>126527.5</v>
      </c>
      <c r="CD18" s="108">
        <v>109283.35</v>
      </c>
      <c r="CE18" s="108">
        <f>CC18</f>
        <v>126527.5</v>
      </c>
      <c r="CF18" s="108">
        <v>126527.5</v>
      </c>
    </row>
    <row r="19" spans="1:84" ht="12.75" customHeight="1" x14ac:dyDescent="0.4">
      <c r="A19" s="154">
        <v>914.1</v>
      </c>
      <c r="B19" s="124">
        <f t="shared" si="33"/>
        <v>6</v>
      </c>
      <c r="C19" s="127" t="s">
        <v>264</v>
      </c>
      <c r="D19" s="155">
        <v>1038728</v>
      </c>
      <c r="E19" s="155">
        <v>1074864</v>
      </c>
      <c r="F19" s="155">
        <v>1202062</v>
      </c>
      <c r="G19" s="155">
        <v>1368915</v>
      </c>
      <c r="H19" s="155">
        <v>1516866</v>
      </c>
      <c r="I19" s="156"/>
      <c r="J19" s="157">
        <v>1923642</v>
      </c>
      <c r="K19" s="157">
        <v>2375321</v>
      </c>
      <c r="L19" s="157">
        <v>2234321</v>
      </c>
      <c r="M19" s="157">
        <v>1126350</v>
      </c>
      <c r="N19" s="156">
        <f t="shared" si="3"/>
        <v>-1107971</v>
      </c>
      <c r="O19" s="158">
        <f t="shared" si="4"/>
        <v>-0.49588711738376001</v>
      </c>
      <c r="P19" s="159" t="s">
        <v>265</v>
      </c>
      <c r="Q19" s="157">
        <v>1067289.27</v>
      </c>
      <c r="R19" s="157">
        <v>1179939.49</v>
      </c>
      <c r="S19" s="157">
        <v>1305100</v>
      </c>
      <c r="T19" s="157">
        <v>1266574</v>
      </c>
      <c r="U19" s="160">
        <f t="shared" si="5"/>
        <v>125160.51000000001</v>
      </c>
      <c r="V19" s="160">
        <f t="shared" si="6"/>
        <v>0.11726952900032435</v>
      </c>
      <c r="W19" s="160"/>
      <c r="X19" s="160"/>
      <c r="Y19" s="160">
        <v>1426115</v>
      </c>
      <c r="Z19" s="160">
        <v>1426115</v>
      </c>
      <c r="AA19" s="160">
        <v>1391064</v>
      </c>
      <c r="AB19" s="160">
        <f t="shared" si="7"/>
        <v>159541</v>
      </c>
      <c r="AC19" s="160">
        <f t="shared" si="8"/>
        <v>-38526</v>
      </c>
      <c r="AD19" s="161">
        <f t="shared" si="9"/>
        <v>0.12596263621391249</v>
      </c>
      <c r="AE19" s="162">
        <f t="shared" si="10"/>
        <v>159541</v>
      </c>
      <c r="AF19" s="161">
        <f t="shared" si="11"/>
        <v>0.12596263621391249</v>
      </c>
      <c r="AG19" s="162">
        <f t="shared" si="12"/>
        <v>124490</v>
      </c>
      <c r="AH19" s="161">
        <f t="shared" si="13"/>
        <v>9.8288769546824736E-2</v>
      </c>
      <c r="AI19" s="160">
        <v>1598994</v>
      </c>
      <c r="AJ19" s="160">
        <v>1519399</v>
      </c>
      <c r="AK19" s="157">
        <f t="shared" si="14"/>
        <v>207930</v>
      </c>
      <c r="AL19" s="163">
        <f t="shared" si="15"/>
        <v>0.14947550939424786</v>
      </c>
      <c r="AM19" s="157">
        <f t="shared" si="16"/>
        <v>128335</v>
      </c>
      <c r="AN19" s="163">
        <f t="shared" si="17"/>
        <v>9.2256718598137832E-2</v>
      </c>
      <c r="AO19" s="108">
        <v>1456621</v>
      </c>
      <c r="AP19" s="108">
        <f t="shared" si="18"/>
        <v>65557</v>
      </c>
      <c r="AQ19" s="131">
        <f t="shared" si="19"/>
        <v>4.7127234979842766E-2</v>
      </c>
      <c r="AR19" s="132">
        <v>1569399</v>
      </c>
      <c r="AS19" s="132">
        <f t="shared" si="20"/>
        <v>178335</v>
      </c>
      <c r="AT19" s="131">
        <f t="shared" si="21"/>
        <v>0.12820042787391522</v>
      </c>
      <c r="AU19" s="108">
        <v>1566946</v>
      </c>
      <c r="AV19" s="108">
        <v>1513750</v>
      </c>
      <c r="AW19" s="108">
        <f t="shared" si="22"/>
        <v>57129</v>
      </c>
      <c r="AX19" s="131">
        <f t="shared" si="23"/>
        <v>3.9220222693480321E-2</v>
      </c>
      <c r="AY19" s="108">
        <v>1476675</v>
      </c>
      <c r="AZ19" s="108">
        <f t="shared" si="24"/>
        <v>20054</v>
      </c>
      <c r="BA19" s="131">
        <f t="shared" si="25"/>
        <v>1.3767479666982696E-2</v>
      </c>
      <c r="BB19" s="112">
        <f t="shared" si="26"/>
        <v>37075</v>
      </c>
      <c r="BC19" s="108">
        <v>1563059</v>
      </c>
      <c r="BD19" s="108">
        <f t="shared" si="27"/>
        <v>86384</v>
      </c>
      <c r="BE19" s="134">
        <f t="shared" si="28"/>
        <v>5.8498992669341596E-2</v>
      </c>
      <c r="BF19" s="108">
        <v>1613779</v>
      </c>
      <c r="BG19" s="108">
        <v>1837200</v>
      </c>
      <c r="BH19" s="108">
        <v>1734169</v>
      </c>
      <c r="BI19" s="108">
        <v>1950864</v>
      </c>
      <c r="BJ19" s="108">
        <v>1950864</v>
      </c>
      <c r="BK19" s="108">
        <v>1950864</v>
      </c>
      <c r="BL19" s="108">
        <v>2050104</v>
      </c>
      <c r="BM19" s="108">
        <f>1745689.65+8000</f>
        <v>1753689.65</v>
      </c>
      <c r="BN19" s="108">
        <f>2006804+500+15000</f>
        <v>2022304</v>
      </c>
      <c r="BO19" s="108">
        <v>0</v>
      </c>
      <c r="BP19" s="108">
        <f t="shared" si="29"/>
        <v>71440</v>
      </c>
      <c r="BQ19" s="134">
        <f t="shared" si="30"/>
        <v>3.6619672104257393E-2</v>
      </c>
      <c r="BR19" s="111">
        <f t="shared" si="31"/>
        <v>-2022304</v>
      </c>
      <c r="BS19" s="108">
        <f>1826821.17+6150+8000</f>
        <v>1840971.17</v>
      </c>
      <c r="BT19" s="108">
        <v>1775300</v>
      </c>
      <c r="BU19" s="108">
        <f>1666065.22+8000</f>
        <v>1674065.22</v>
      </c>
      <c r="BV19" s="108">
        <v>1596566</v>
      </c>
      <c r="BW19" s="108">
        <v>1754073</v>
      </c>
      <c r="BX19" s="108">
        <f>1560744.12+8000</f>
        <v>1568744.12</v>
      </c>
      <c r="BY19" s="108">
        <f t="shared" si="32"/>
        <v>1754073</v>
      </c>
      <c r="BZ19" s="108">
        <f>1662769.78+8000</f>
        <v>1670769.78</v>
      </c>
      <c r="CA19" s="108">
        <v>1892087</v>
      </c>
      <c r="CB19" s="108">
        <f>2036429.22+5500</f>
        <v>2041929.22</v>
      </c>
      <c r="CC19" s="108">
        <f t="shared" ref="CC19:CC31" si="34">CB19</f>
        <v>2041929.22</v>
      </c>
      <c r="CD19" s="108">
        <f>1797968.97+8000</f>
        <v>1805968.97</v>
      </c>
      <c r="CE19" s="108">
        <v>2071625.52</v>
      </c>
      <c r="CF19" s="108">
        <v>2305035.11</v>
      </c>
    </row>
    <row r="20" spans="1:84" ht="12.75" customHeight="1" x14ac:dyDescent="0.4">
      <c r="A20" s="154">
        <v>914.2</v>
      </c>
      <c r="B20" s="124">
        <f t="shared" si="33"/>
        <v>7</v>
      </c>
      <c r="C20" s="127" t="s">
        <v>266</v>
      </c>
      <c r="D20" s="144">
        <v>12638</v>
      </c>
      <c r="E20" s="144">
        <v>12977</v>
      </c>
      <c r="F20" s="145">
        <v>13569</v>
      </c>
      <c r="G20" s="144">
        <v>13131</v>
      </c>
      <c r="H20" s="144">
        <v>12535</v>
      </c>
      <c r="I20" s="146"/>
      <c r="J20" s="147">
        <v>13943</v>
      </c>
      <c r="K20" s="147">
        <v>15100</v>
      </c>
      <c r="L20" s="147">
        <v>13840</v>
      </c>
      <c r="M20" s="147">
        <v>15100</v>
      </c>
      <c r="N20" s="146">
        <f t="shared" si="3"/>
        <v>1260</v>
      </c>
      <c r="O20" s="148">
        <f t="shared" si="4"/>
        <v>9.1040462427745661E-2</v>
      </c>
      <c r="P20" s="126"/>
      <c r="Q20" s="147">
        <v>12096.5</v>
      </c>
      <c r="R20" s="147">
        <v>11858.75</v>
      </c>
      <c r="S20" s="147">
        <v>16000</v>
      </c>
      <c r="T20" s="147">
        <v>11622</v>
      </c>
      <c r="U20" s="150">
        <f t="shared" si="5"/>
        <v>4141.25</v>
      </c>
      <c r="V20" s="150">
        <f t="shared" si="6"/>
        <v>0.34235109329144792</v>
      </c>
      <c r="W20" s="150"/>
      <c r="X20" s="150"/>
      <c r="Y20" s="150">
        <f>T20</f>
        <v>11622</v>
      </c>
      <c r="Z20" s="150">
        <v>16000</v>
      </c>
      <c r="AA20" s="150">
        <v>15137</v>
      </c>
      <c r="AB20" s="150">
        <f t="shared" si="7"/>
        <v>0</v>
      </c>
      <c r="AC20" s="150">
        <f t="shared" si="8"/>
        <v>-4378</v>
      </c>
      <c r="AD20" s="151">
        <f t="shared" si="9"/>
        <v>0</v>
      </c>
      <c r="AE20" s="152">
        <f t="shared" si="10"/>
        <v>4378</v>
      </c>
      <c r="AF20" s="151">
        <f t="shared" si="11"/>
        <v>0.37669936327654446</v>
      </c>
      <c r="AG20" s="152">
        <f t="shared" si="12"/>
        <v>3515</v>
      </c>
      <c r="AH20" s="151">
        <f t="shared" si="13"/>
        <v>0.30244364136981589</v>
      </c>
      <c r="AI20" s="150">
        <v>16000</v>
      </c>
      <c r="AJ20" s="150">
        <v>16000</v>
      </c>
      <c r="AK20" s="147">
        <f t="shared" si="14"/>
        <v>863</v>
      </c>
      <c r="AL20" s="153">
        <f t="shared" si="15"/>
        <v>5.7012618088128429E-2</v>
      </c>
      <c r="AM20" s="147">
        <f t="shared" si="16"/>
        <v>863</v>
      </c>
      <c r="AN20" s="153">
        <f t="shared" si="17"/>
        <v>5.7012618088128429E-2</v>
      </c>
      <c r="AO20" s="108">
        <v>15114</v>
      </c>
      <c r="AP20" s="108">
        <f t="shared" si="18"/>
        <v>-23</v>
      </c>
      <c r="AQ20" s="131">
        <f t="shared" si="19"/>
        <v>-1.5194556385016845E-3</v>
      </c>
      <c r="AR20" s="132">
        <v>16000</v>
      </c>
      <c r="AS20" s="132">
        <f t="shared" si="20"/>
        <v>863</v>
      </c>
      <c r="AT20" s="131">
        <f t="shared" si="21"/>
        <v>5.7012618088128429E-2</v>
      </c>
      <c r="AU20" s="108">
        <v>16000</v>
      </c>
      <c r="AV20" s="108">
        <f t="shared" ref="AV20:AV29" si="35">AY20</f>
        <v>15119</v>
      </c>
      <c r="AW20" s="108">
        <f t="shared" si="22"/>
        <v>5</v>
      </c>
      <c r="AX20" s="131">
        <f t="shared" si="23"/>
        <v>3.3081910811168453E-4</v>
      </c>
      <c r="AY20" s="108">
        <v>15119</v>
      </c>
      <c r="AZ20" s="108">
        <f t="shared" si="24"/>
        <v>5</v>
      </c>
      <c r="BA20" s="131">
        <f t="shared" si="25"/>
        <v>3.3081910811168453E-4</v>
      </c>
      <c r="BB20" s="112">
        <f t="shared" si="26"/>
        <v>0</v>
      </c>
      <c r="BC20" s="108">
        <v>16800</v>
      </c>
      <c r="BD20" s="108">
        <f t="shared" si="27"/>
        <v>1681</v>
      </c>
      <c r="BE20" s="134">
        <f t="shared" si="28"/>
        <v>0.11118460215622726</v>
      </c>
      <c r="BF20" s="108">
        <v>16022</v>
      </c>
      <c r="BG20" s="108">
        <v>18060</v>
      </c>
      <c r="BH20" s="108">
        <v>15307</v>
      </c>
      <c r="BI20" s="108">
        <v>18421</v>
      </c>
      <c r="BJ20" s="108">
        <v>18421</v>
      </c>
      <c r="BK20" s="108">
        <v>18421</v>
      </c>
      <c r="BL20" s="108">
        <v>19066</v>
      </c>
      <c r="BM20" s="108">
        <v>10870.5</v>
      </c>
      <c r="BN20" s="108">
        <v>19066</v>
      </c>
      <c r="BO20" s="108">
        <v>0</v>
      </c>
      <c r="BP20" s="108">
        <f t="shared" si="29"/>
        <v>645</v>
      </c>
      <c r="BQ20" s="134">
        <f t="shared" si="30"/>
        <v>3.5014385755387872E-2</v>
      </c>
      <c r="BR20" s="111">
        <f t="shared" si="31"/>
        <v>-19066</v>
      </c>
      <c r="BS20" s="108">
        <v>9622.5</v>
      </c>
      <c r="BT20" s="108">
        <v>21020</v>
      </c>
      <c r="BU20" s="108">
        <v>10056.25</v>
      </c>
      <c r="BV20" s="108">
        <v>21756</v>
      </c>
      <c r="BW20" s="108">
        <v>22191</v>
      </c>
      <c r="BX20" s="108">
        <v>9832.5</v>
      </c>
      <c r="BY20" s="108">
        <f t="shared" si="32"/>
        <v>22191</v>
      </c>
      <c r="BZ20" s="108">
        <v>9926.25</v>
      </c>
      <c r="CA20" s="108">
        <v>22635</v>
      </c>
      <c r="CB20" s="108">
        <v>15000</v>
      </c>
      <c r="CC20" s="108">
        <f t="shared" si="34"/>
        <v>15000</v>
      </c>
      <c r="CD20" s="108">
        <v>10073.75</v>
      </c>
      <c r="CE20" s="108">
        <f t="shared" ref="CE20:CE25" si="36">CC20</f>
        <v>15000</v>
      </c>
      <c r="CF20" s="108">
        <v>15000</v>
      </c>
    </row>
    <row r="21" spans="1:84" ht="12.75" customHeight="1" x14ac:dyDescent="0.4">
      <c r="A21" s="154">
        <v>525</v>
      </c>
      <c r="B21" s="124">
        <f t="shared" si="33"/>
        <v>8</v>
      </c>
      <c r="C21" s="127" t="s">
        <v>267</v>
      </c>
      <c r="D21" s="106">
        <v>275</v>
      </c>
      <c r="E21" s="106">
        <v>445</v>
      </c>
      <c r="F21" s="128">
        <v>914</v>
      </c>
      <c r="G21" s="106">
        <v>1599</v>
      </c>
      <c r="H21" s="106">
        <v>2875</v>
      </c>
      <c r="I21" s="129"/>
      <c r="J21" s="130">
        <v>360</v>
      </c>
      <c r="K21" s="130">
        <f>J21</f>
        <v>360</v>
      </c>
      <c r="L21" s="130">
        <v>1725</v>
      </c>
      <c r="M21" s="130">
        <v>2200</v>
      </c>
      <c r="N21" s="129">
        <f t="shared" si="3"/>
        <v>475</v>
      </c>
      <c r="O21" s="138">
        <f t="shared" si="4"/>
        <v>0.27536231884057971</v>
      </c>
      <c r="Q21" s="130">
        <v>150</v>
      </c>
      <c r="R21" s="130">
        <v>900</v>
      </c>
      <c r="S21" s="130">
        <v>2200</v>
      </c>
      <c r="T21" s="130">
        <v>1925</v>
      </c>
      <c r="U21" s="132">
        <f t="shared" si="5"/>
        <v>1300</v>
      </c>
      <c r="V21" s="132">
        <f t="shared" si="6"/>
        <v>8.6666666666666661</v>
      </c>
      <c r="W21" s="132"/>
      <c r="X21" s="132"/>
      <c r="Y21" s="132">
        <f>T21</f>
        <v>1925</v>
      </c>
      <c r="Z21" s="132">
        <v>2200</v>
      </c>
      <c r="AA21" s="132">
        <v>3706</v>
      </c>
      <c r="AB21" s="132">
        <f t="shared" si="7"/>
        <v>0</v>
      </c>
      <c r="AC21" s="132">
        <f t="shared" si="8"/>
        <v>-275</v>
      </c>
      <c r="AD21" s="131">
        <f t="shared" si="9"/>
        <v>0</v>
      </c>
      <c r="AE21" s="133">
        <f t="shared" si="10"/>
        <v>275</v>
      </c>
      <c r="AF21" s="131">
        <f t="shared" si="11"/>
        <v>0.14285714285714285</v>
      </c>
      <c r="AG21" s="133">
        <f t="shared" si="12"/>
        <v>1781</v>
      </c>
      <c r="AH21" s="131">
        <f t="shared" si="13"/>
        <v>0.92519480519480524</v>
      </c>
      <c r="AI21" s="132">
        <v>2310</v>
      </c>
      <c r="AJ21" s="132">
        <v>2200</v>
      </c>
      <c r="AK21" s="130">
        <f t="shared" si="14"/>
        <v>-1396</v>
      </c>
      <c r="AL21" s="134">
        <f t="shared" si="15"/>
        <v>-0.37668645439827309</v>
      </c>
      <c r="AM21" s="130">
        <f t="shared" si="16"/>
        <v>-1506</v>
      </c>
      <c r="AN21" s="134">
        <f t="shared" si="17"/>
        <v>-0.4063680518078791</v>
      </c>
      <c r="AO21" s="108">
        <v>566</v>
      </c>
      <c r="AP21" s="108">
        <f t="shared" si="18"/>
        <v>-3140</v>
      </c>
      <c r="AQ21" s="131">
        <f t="shared" si="19"/>
        <v>-0.84727468969239073</v>
      </c>
      <c r="AR21" s="132">
        <v>2200</v>
      </c>
      <c r="AS21" s="132">
        <f t="shared" si="20"/>
        <v>-1506</v>
      </c>
      <c r="AT21" s="131">
        <f t="shared" si="21"/>
        <v>-0.4063680518078791</v>
      </c>
      <c r="AU21" s="108">
        <v>2200</v>
      </c>
      <c r="AV21" s="108">
        <f t="shared" si="35"/>
        <v>2231</v>
      </c>
      <c r="AW21" s="108">
        <f t="shared" si="22"/>
        <v>1665</v>
      </c>
      <c r="AX21" s="131">
        <f t="shared" si="23"/>
        <v>2.941696113074205</v>
      </c>
      <c r="AY21" s="108">
        <v>2231</v>
      </c>
      <c r="AZ21" s="108">
        <f t="shared" si="24"/>
        <v>1665</v>
      </c>
      <c r="BA21" s="131">
        <f t="shared" si="25"/>
        <v>2.941696113074205</v>
      </c>
      <c r="BB21" s="112">
        <f t="shared" si="26"/>
        <v>0</v>
      </c>
      <c r="BC21" s="108">
        <v>2200</v>
      </c>
      <c r="BD21" s="108">
        <f t="shared" si="27"/>
        <v>-31</v>
      </c>
      <c r="BE21" s="134">
        <f t="shared" si="28"/>
        <v>-1.3895114298520844E-2</v>
      </c>
      <c r="BF21" s="108">
        <v>2283</v>
      </c>
      <c r="BG21" s="108">
        <v>2500</v>
      </c>
      <c r="BH21" s="108">
        <v>1572</v>
      </c>
      <c r="BI21" s="108">
        <v>2500</v>
      </c>
      <c r="BJ21" s="108">
        <v>2500</v>
      </c>
      <c r="BK21" s="108">
        <v>2500</v>
      </c>
      <c r="BL21" s="108">
        <v>2500</v>
      </c>
      <c r="BM21" s="108">
        <f>1271.6+1995</f>
        <v>3266.6</v>
      </c>
      <c r="BN21" s="108">
        <v>2500</v>
      </c>
      <c r="BO21" s="108">
        <v>0</v>
      </c>
      <c r="BP21" s="108">
        <f t="shared" si="29"/>
        <v>0</v>
      </c>
      <c r="BQ21" s="134">
        <f t="shared" si="30"/>
        <v>0</v>
      </c>
      <c r="BR21" s="111">
        <f t="shared" si="31"/>
        <v>-2500</v>
      </c>
      <c r="BS21" s="108">
        <v>4084.33</v>
      </c>
      <c r="BT21" s="108">
        <v>2500</v>
      </c>
      <c r="BU21" s="108">
        <v>300</v>
      </c>
      <c r="BV21" s="108">
        <v>2500</v>
      </c>
      <c r="BW21" s="108">
        <v>3500</v>
      </c>
      <c r="BX21" s="108">
        <v>4407</v>
      </c>
      <c r="BY21" s="108">
        <f t="shared" si="32"/>
        <v>3500</v>
      </c>
      <c r="BZ21" s="108">
        <v>3757</v>
      </c>
      <c r="CA21" s="108">
        <v>3500</v>
      </c>
      <c r="CB21" s="108">
        <v>3500</v>
      </c>
      <c r="CC21" s="108">
        <f t="shared" si="34"/>
        <v>3500</v>
      </c>
      <c r="CD21" s="108">
        <v>4425</v>
      </c>
      <c r="CE21" s="108">
        <f t="shared" si="36"/>
        <v>3500</v>
      </c>
      <c r="CF21" s="108">
        <v>3500</v>
      </c>
    </row>
    <row r="22" spans="1:84" ht="12.75" customHeight="1" x14ac:dyDescent="0.4">
      <c r="A22" s="124">
        <v>195</v>
      </c>
      <c r="B22" s="124">
        <f t="shared" si="33"/>
        <v>9</v>
      </c>
      <c r="C22" s="127" t="s">
        <v>268</v>
      </c>
      <c r="D22" s="106">
        <v>5939</v>
      </c>
      <c r="E22" s="106">
        <v>6201</v>
      </c>
      <c r="F22" s="128">
        <v>5580</v>
      </c>
      <c r="G22" s="106">
        <v>7117</v>
      </c>
      <c r="H22" s="106">
        <v>5805</v>
      </c>
      <c r="I22" s="129"/>
      <c r="J22" s="130">
        <v>6596</v>
      </c>
      <c r="K22" s="130">
        <f>J22</f>
        <v>6596</v>
      </c>
      <c r="L22" s="130">
        <v>7073</v>
      </c>
      <c r="M22" s="130">
        <v>7500</v>
      </c>
      <c r="N22" s="129">
        <f t="shared" si="3"/>
        <v>427</v>
      </c>
      <c r="O22" s="138">
        <f t="shared" si="4"/>
        <v>6.0370422734341865E-2</v>
      </c>
      <c r="Q22" s="130">
        <v>6521.21</v>
      </c>
      <c r="R22" s="130">
        <v>7201.45</v>
      </c>
      <c r="S22" s="130">
        <v>7500</v>
      </c>
      <c r="T22" s="130">
        <v>7126</v>
      </c>
      <c r="U22" s="132">
        <f t="shared" si="5"/>
        <v>298.55000000000018</v>
      </c>
      <c r="V22" s="132">
        <f t="shared" si="6"/>
        <v>4.5781381062716918E-2</v>
      </c>
      <c r="W22" s="132"/>
      <c r="X22" s="132"/>
      <c r="Y22" s="132">
        <v>8700</v>
      </c>
      <c r="Z22" s="132">
        <v>8700</v>
      </c>
      <c r="AA22" s="132">
        <v>8830</v>
      </c>
      <c r="AB22" s="132">
        <f t="shared" si="7"/>
        <v>1574</v>
      </c>
      <c r="AC22" s="132">
        <f t="shared" si="8"/>
        <v>-374</v>
      </c>
      <c r="AD22" s="131">
        <f t="shared" si="9"/>
        <v>0.22088127982037609</v>
      </c>
      <c r="AE22" s="133">
        <f t="shared" si="10"/>
        <v>1574</v>
      </c>
      <c r="AF22" s="131">
        <f t="shared" si="11"/>
        <v>0.22088127982037609</v>
      </c>
      <c r="AG22" s="133">
        <f t="shared" si="12"/>
        <v>1704</v>
      </c>
      <c r="AH22" s="131">
        <f t="shared" si="13"/>
        <v>0.23912433342688746</v>
      </c>
      <c r="AI22" s="132">
        <v>9400</v>
      </c>
      <c r="AJ22" s="132">
        <v>8700</v>
      </c>
      <c r="AK22" s="130">
        <f t="shared" si="14"/>
        <v>570</v>
      </c>
      <c r="AL22" s="134">
        <f t="shared" si="15"/>
        <v>6.4552661381653456E-2</v>
      </c>
      <c r="AM22" s="130">
        <f t="shared" si="16"/>
        <v>-130</v>
      </c>
      <c r="AN22" s="134">
        <f t="shared" si="17"/>
        <v>-1.4722536806342015E-2</v>
      </c>
      <c r="AO22" s="108">
        <v>8254</v>
      </c>
      <c r="AP22" s="108">
        <f t="shared" si="18"/>
        <v>-576</v>
      </c>
      <c r="AQ22" s="131">
        <f t="shared" si="19"/>
        <v>-6.5232163080407704E-2</v>
      </c>
      <c r="AR22" s="132">
        <v>8700</v>
      </c>
      <c r="AS22" s="132">
        <f t="shared" si="20"/>
        <v>-130</v>
      </c>
      <c r="AT22" s="131">
        <f t="shared" si="21"/>
        <v>-1.4722536806342015E-2</v>
      </c>
      <c r="AU22" s="108">
        <v>10300</v>
      </c>
      <c r="AV22" s="108">
        <f t="shared" si="35"/>
        <v>7942</v>
      </c>
      <c r="AW22" s="108">
        <f t="shared" si="22"/>
        <v>-312</v>
      </c>
      <c r="AX22" s="131">
        <f t="shared" si="23"/>
        <v>-3.7799854615943783E-2</v>
      </c>
      <c r="AY22" s="108">
        <v>7942</v>
      </c>
      <c r="AZ22" s="108">
        <f t="shared" si="24"/>
        <v>-312</v>
      </c>
      <c r="BA22" s="131">
        <f t="shared" si="25"/>
        <v>-3.7799854615943783E-2</v>
      </c>
      <c r="BB22" s="112">
        <f t="shared" si="26"/>
        <v>0</v>
      </c>
      <c r="BC22" s="108">
        <v>5700</v>
      </c>
      <c r="BD22" s="108">
        <f t="shared" si="27"/>
        <v>-2242</v>
      </c>
      <c r="BE22" s="134">
        <f t="shared" si="28"/>
        <v>-0.28229665071770332</v>
      </c>
      <c r="BF22" s="108">
        <v>4101</v>
      </c>
      <c r="BG22" s="108">
        <v>6500</v>
      </c>
      <c r="BH22" s="108">
        <v>5008</v>
      </c>
      <c r="BI22" s="108">
        <v>6500</v>
      </c>
      <c r="BJ22" s="108">
        <v>6500</v>
      </c>
      <c r="BK22" s="108">
        <v>6500</v>
      </c>
      <c r="BL22" s="108">
        <v>6500</v>
      </c>
      <c r="BM22" s="108">
        <v>6125.94</v>
      </c>
      <c r="BN22" s="108">
        <v>5000</v>
      </c>
      <c r="BO22" s="108">
        <v>0</v>
      </c>
      <c r="BP22" s="108">
        <f t="shared" si="29"/>
        <v>-1500</v>
      </c>
      <c r="BQ22" s="134">
        <f t="shared" si="30"/>
        <v>-0.23076923076923078</v>
      </c>
      <c r="BR22" s="111">
        <f t="shared" si="31"/>
        <v>-5000</v>
      </c>
      <c r="BS22" s="108">
        <f>3938.47+1061.53</f>
        <v>5000</v>
      </c>
      <c r="BT22" s="108">
        <v>5000</v>
      </c>
      <c r="BU22" s="108">
        <f>5032.5+1100</f>
        <v>6132.5</v>
      </c>
      <c r="BV22" s="108">
        <v>5000</v>
      </c>
      <c r="BW22" s="108">
        <v>5000</v>
      </c>
      <c r="BX22" s="108">
        <f>5714.36+623.5</f>
        <v>6337.86</v>
      </c>
      <c r="BY22" s="108">
        <f t="shared" si="32"/>
        <v>5000</v>
      </c>
      <c r="BZ22" s="108">
        <v>10085.07</v>
      </c>
      <c r="CA22" s="108">
        <v>11797.14</v>
      </c>
      <c r="CB22" s="108">
        <v>12000</v>
      </c>
      <c r="CC22" s="108">
        <f t="shared" si="34"/>
        <v>12000</v>
      </c>
      <c r="CD22" s="108">
        <v>8575</v>
      </c>
      <c r="CE22" s="108">
        <f t="shared" si="36"/>
        <v>12000</v>
      </c>
      <c r="CF22" s="108">
        <v>12000</v>
      </c>
    </row>
    <row r="23" spans="1:84" ht="12.75" customHeight="1" x14ac:dyDescent="0.4">
      <c r="A23" s="124">
        <v>841</v>
      </c>
      <c r="B23" s="124">
        <f t="shared" si="33"/>
        <v>10</v>
      </c>
      <c r="C23" s="127" t="s">
        <v>269</v>
      </c>
      <c r="D23" s="106">
        <v>1961</v>
      </c>
      <c r="E23" s="106">
        <v>2010</v>
      </c>
      <c r="F23" s="128">
        <v>2061</v>
      </c>
      <c r="G23" s="106">
        <v>2112</v>
      </c>
      <c r="H23" s="106">
        <v>2165</v>
      </c>
      <c r="I23" s="129"/>
      <c r="J23" s="130">
        <v>2219</v>
      </c>
      <c r="K23" s="130">
        <f>J23</f>
        <v>2219</v>
      </c>
      <c r="L23" s="130">
        <v>2231</v>
      </c>
      <c r="M23" s="130">
        <v>2287</v>
      </c>
      <c r="N23" s="129">
        <f t="shared" si="3"/>
        <v>56</v>
      </c>
      <c r="O23" s="138">
        <f t="shared" si="4"/>
        <v>2.510085163603765E-2</v>
      </c>
      <c r="Q23" s="130">
        <v>2286.38</v>
      </c>
      <c r="R23" s="130">
        <v>2343.54</v>
      </c>
      <c r="S23" s="130">
        <v>2344</v>
      </c>
      <c r="T23" s="130">
        <v>2402</v>
      </c>
      <c r="U23" s="132">
        <f t="shared" si="5"/>
        <v>0.46000000000003638</v>
      </c>
      <c r="V23" s="132">
        <f t="shared" si="6"/>
        <v>2.0119140300389103E-4</v>
      </c>
      <c r="W23" s="132"/>
      <c r="X23" s="132"/>
      <c r="Y23" s="132">
        <v>2463</v>
      </c>
      <c r="Z23" s="132">
        <v>2463</v>
      </c>
      <c r="AA23" s="132">
        <v>2463</v>
      </c>
      <c r="AB23" s="132">
        <f t="shared" si="7"/>
        <v>61</v>
      </c>
      <c r="AC23" s="132">
        <f t="shared" si="8"/>
        <v>58</v>
      </c>
      <c r="AD23" s="131">
        <f t="shared" si="9"/>
        <v>2.5395503746877601E-2</v>
      </c>
      <c r="AE23" s="133">
        <f t="shared" si="10"/>
        <v>61</v>
      </c>
      <c r="AF23" s="131">
        <f t="shared" si="11"/>
        <v>2.5395503746877601E-2</v>
      </c>
      <c r="AG23" s="133">
        <f t="shared" si="12"/>
        <v>61</v>
      </c>
      <c r="AH23" s="131">
        <f t="shared" si="13"/>
        <v>2.5395503746877601E-2</v>
      </c>
      <c r="AI23" s="132">
        <v>2524</v>
      </c>
      <c r="AJ23" s="132">
        <v>2524</v>
      </c>
      <c r="AK23" s="130">
        <f t="shared" si="14"/>
        <v>61</v>
      </c>
      <c r="AL23" s="134">
        <f t="shared" si="15"/>
        <v>2.4766544863987008E-2</v>
      </c>
      <c r="AM23" s="130">
        <f t="shared" si="16"/>
        <v>61</v>
      </c>
      <c r="AN23" s="134">
        <f t="shared" si="17"/>
        <v>2.4766544863987008E-2</v>
      </c>
      <c r="AO23" s="108">
        <f>AJ23</f>
        <v>2524</v>
      </c>
      <c r="AP23" s="108">
        <f t="shared" si="18"/>
        <v>61</v>
      </c>
      <c r="AQ23" s="131">
        <f t="shared" si="19"/>
        <v>2.4766544863987008E-2</v>
      </c>
      <c r="AR23" s="132">
        <v>2524</v>
      </c>
      <c r="AS23" s="132">
        <f t="shared" si="20"/>
        <v>61</v>
      </c>
      <c r="AT23" s="131">
        <f t="shared" si="21"/>
        <v>2.4766544863987008E-2</v>
      </c>
      <c r="AU23" s="108">
        <v>2750</v>
      </c>
      <c r="AV23" s="108">
        <f t="shared" si="35"/>
        <v>2587</v>
      </c>
      <c r="AW23" s="108">
        <f t="shared" si="22"/>
        <v>63</v>
      </c>
      <c r="AX23" s="131">
        <f t="shared" si="23"/>
        <v>2.496038034865293E-2</v>
      </c>
      <c r="AY23" s="108">
        <v>2587</v>
      </c>
      <c r="AZ23" s="108">
        <f t="shared" si="24"/>
        <v>63</v>
      </c>
      <c r="BA23" s="131">
        <f t="shared" si="25"/>
        <v>2.496038034865293E-2</v>
      </c>
      <c r="BB23" s="112">
        <f t="shared" si="26"/>
        <v>0</v>
      </c>
      <c r="BC23" s="108">
        <v>2652</v>
      </c>
      <c r="BD23" s="108">
        <f t="shared" si="27"/>
        <v>65</v>
      </c>
      <c r="BE23" s="134">
        <f t="shared" si="28"/>
        <v>2.5125628140703519E-2</v>
      </c>
      <c r="BF23" s="108">
        <f>BC23</f>
        <v>2652</v>
      </c>
      <c r="BG23" s="108">
        <v>2700</v>
      </c>
      <c r="BH23" s="108">
        <v>2718</v>
      </c>
      <c r="BI23" s="108">
        <v>2786</v>
      </c>
      <c r="BJ23" s="108">
        <v>2786</v>
      </c>
      <c r="BK23" s="108">
        <v>2786</v>
      </c>
      <c r="BL23" s="108">
        <v>2970</v>
      </c>
      <c r="BM23" s="108">
        <v>2785.74</v>
      </c>
      <c r="BN23" s="108">
        <v>2970</v>
      </c>
      <c r="BO23" s="108">
        <v>0</v>
      </c>
      <c r="BP23" s="108">
        <f t="shared" si="29"/>
        <v>184</v>
      </c>
      <c r="BQ23" s="134">
        <f t="shared" si="30"/>
        <v>6.604450825556353E-2</v>
      </c>
      <c r="BR23" s="111">
        <f t="shared" si="31"/>
        <v>-2970</v>
      </c>
      <c r="BS23" s="108">
        <v>2969.14</v>
      </c>
      <c r="BT23" s="108">
        <v>3044</v>
      </c>
      <c r="BU23" s="108">
        <v>3043.36</v>
      </c>
      <c r="BV23" s="108">
        <v>3120</v>
      </c>
      <c r="BW23" s="108">
        <v>3200</v>
      </c>
      <c r="BX23" s="108">
        <v>3119.45</v>
      </c>
      <c r="BY23" s="108">
        <f t="shared" si="32"/>
        <v>3200</v>
      </c>
      <c r="BZ23" s="108">
        <v>3197.43</v>
      </c>
      <c r="CA23" s="108">
        <v>3278</v>
      </c>
      <c r="CB23" s="108">
        <v>3359.3</v>
      </c>
      <c r="CC23" s="108">
        <f t="shared" si="34"/>
        <v>3359.3</v>
      </c>
      <c r="CD23" s="108">
        <v>3277.37</v>
      </c>
      <c r="CE23" s="108">
        <f t="shared" si="36"/>
        <v>3359.3</v>
      </c>
      <c r="CF23" s="108">
        <v>3443.29</v>
      </c>
    </row>
    <row r="24" spans="1:84" ht="12.75" customHeight="1" x14ac:dyDescent="0.4">
      <c r="A24" s="124">
        <v>691</v>
      </c>
      <c r="B24" s="124">
        <f t="shared" si="33"/>
        <v>11</v>
      </c>
      <c r="C24" s="127" t="s">
        <v>270</v>
      </c>
      <c r="D24" s="106">
        <v>0</v>
      </c>
      <c r="E24" s="106">
        <v>639</v>
      </c>
      <c r="F24" s="128">
        <v>1025</v>
      </c>
      <c r="G24" s="106">
        <v>863</v>
      </c>
      <c r="H24" s="106">
        <v>1025</v>
      </c>
      <c r="I24" s="129"/>
      <c r="J24" s="130">
        <v>716</v>
      </c>
      <c r="K24" s="130">
        <f>J24</f>
        <v>716</v>
      </c>
      <c r="L24" s="130">
        <v>889</v>
      </c>
      <c r="M24" s="130">
        <v>958</v>
      </c>
      <c r="N24" s="129">
        <f t="shared" si="3"/>
        <v>69</v>
      </c>
      <c r="O24" s="138">
        <f t="shared" si="4"/>
        <v>7.7615298087739037E-2</v>
      </c>
      <c r="Q24" s="130">
        <v>598.6</v>
      </c>
      <c r="R24" s="130">
        <v>411.2</v>
      </c>
      <c r="S24" s="130">
        <v>958</v>
      </c>
      <c r="T24" s="130">
        <v>39</v>
      </c>
      <c r="U24" s="132">
        <f t="shared" si="5"/>
        <v>546.79999999999995</v>
      </c>
      <c r="V24" s="132">
        <f t="shared" si="6"/>
        <v>0.91346475108586689</v>
      </c>
      <c r="W24" s="132"/>
      <c r="X24" s="132"/>
      <c r="Y24" s="132">
        <f>T24</f>
        <v>39</v>
      </c>
      <c r="Z24" s="132">
        <v>958</v>
      </c>
      <c r="AA24" s="132">
        <v>594</v>
      </c>
      <c r="AB24" s="132">
        <f t="shared" si="7"/>
        <v>0</v>
      </c>
      <c r="AC24" s="132">
        <f t="shared" si="8"/>
        <v>-919</v>
      </c>
      <c r="AD24" s="131">
        <f t="shared" si="9"/>
        <v>0</v>
      </c>
      <c r="AE24" s="133">
        <f t="shared" si="10"/>
        <v>919</v>
      </c>
      <c r="AF24" s="131">
        <f t="shared" si="11"/>
        <v>23.564102564102566</v>
      </c>
      <c r="AG24" s="133">
        <f t="shared" si="12"/>
        <v>555</v>
      </c>
      <c r="AH24" s="131">
        <f t="shared" si="13"/>
        <v>14.23076923076923</v>
      </c>
      <c r="AI24" s="132">
        <v>958</v>
      </c>
      <c r="AJ24" s="132">
        <v>850</v>
      </c>
      <c r="AK24" s="130">
        <f t="shared" si="14"/>
        <v>364</v>
      </c>
      <c r="AL24" s="134">
        <f t="shared" si="15"/>
        <v>0.61279461279461278</v>
      </c>
      <c r="AM24" s="130">
        <f t="shared" si="16"/>
        <v>256</v>
      </c>
      <c r="AN24" s="134">
        <f t="shared" si="17"/>
        <v>0.43097643097643096</v>
      </c>
      <c r="AO24" s="108">
        <v>0</v>
      </c>
      <c r="AP24" s="108">
        <f t="shared" si="18"/>
        <v>-594</v>
      </c>
      <c r="AQ24" s="131">
        <f t="shared" si="19"/>
        <v>-1</v>
      </c>
      <c r="AR24" s="132">
        <v>850</v>
      </c>
      <c r="AS24" s="132">
        <f t="shared" si="20"/>
        <v>256</v>
      </c>
      <c r="AT24" s="131">
        <f t="shared" si="21"/>
        <v>0.43097643097643096</v>
      </c>
      <c r="AU24" s="108">
        <v>850</v>
      </c>
      <c r="AV24" s="108">
        <f t="shared" si="35"/>
        <v>0</v>
      </c>
      <c r="AW24" s="108">
        <f t="shared" si="22"/>
        <v>0</v>
      </c>
      <c r="AX24" s="131" t="e">
        <f t="shared" si="23"/>
        <v>#DIV/0!</v>
      </c>
      <c r="AY24" s="108">
        <v>0</v>
      </c>
      <c r="AZ24" s="108">
        <f t="shared" si="24"/>
        <v>0</v>
      </c>
      <c r="BA24" s="131" t="e">
        <f t="shared" si="25"/>
        <v>#DIV/0!</v>
      </c>
      <c r="BB24" s="112">
        <f t="shared" si="26"/>
        <v>0</v>
      </c>
      <c r="BC24" s="108">
        <v>850</v>
      </c>
      <c r="BD24" s="108">
        <f t="shared" si="27"/>
        <v>850</v>
      </c>
      <c r="BE24" s="134" t="e">
        <f t="shared" si="28"/>
        <v>#DIV/0!</v>
      </c>
      <c r="BF24" s="108">
        <v>546</v>
      </c>
      <c r="BG24" s="108">
        <v>850</v>
      </c>
      <c r="BH24" s="108">
        <v>59</v>
      </c>
      <c r="BI24" s="108">
        <v>850</v>
      </c>
      <c r="BJ24" s="108">
        <v>850</v>
      </c>
      <c r="BK24" s="108">
        <v>850</v>
      </c>
      <c r="BL24" s="108">
        <v>850</v>
      </c>
      <c r="BM24" s="108">
        <v>0</v>
      </c>
      <c r="BN24" s="108">
        <v>850</v>
      </c>
      <c r="BO24" s="108">
        <v>0</v>
      </c>
      <c r="BP24" s="108">
        <f t="shared" si="29"/>
        <v>0</v>
      </c>
      <c r="BQ24" s="134">
        <f t="shared" si="30"/>
        <v>0</v>
      </c>
      <c r="BR24" s="111">
        <f t="shared" si="31"/>
        <v>-850</v>
      </c>
      <c r="BS24" s="108">
        <v>0</v>
      </c>
      <c r="BT24" s="108">
        <v>850</v>
      </c>
      <c r="BU24" s="108">
        <v>0</v>
      </c>
      <c r="BV24" s="108">
        <v>500</v>
      </c>
      <c r="BW24" s="108">
        <v>500</v>
      </c>
      <c r="BX24" s="108">
        <v>0</v>
      </c>
      <c r="BY24" s="108">
        <f t="shared" si="32"/>
        <v>500</v>
      </c>
      <c r="BZ24" s="108">
        <v>500</v>
      </c>
      <c r="CA24" s="108">
        <v>3000</v>
      </c>
      <c r="CB24" s="108">
        <v>3000</v>
      </c>
      <c r="CC24" s="108">
        <f t="shared" si="34"/>
        <v>3000</v>
      </c>
      <c r="CD24" s="108">
        <v>2500</v>
      </c>
      <c r="CE24" s="108">
        <f t="shared" si="36"/>
        <v>3000</v>
      </c>
      <c r="CF24" s="108">
        <v>3000</v>
      </c>
    </row>
    <row r="25" spans="1:84" x14ac:dyDescent="0.4">
      <c r="A25" s="124">
        <v>693</v>
      </c>
      <c r="B25" s="124">
        <f t="shared" si="33"/>
        <v>12</v>
      </c>
      <c r="C25" s="110" t="s">
        <v>271</v>
      </c>
      <c r="D25" s="106">
        <v>2500</v>
      </c>
      <c r="E25" s="106">
        <v>3000</v>
      </c>
      <c r="F25" s="128">
        <v>3000</v>
      </c>
      <c r="G25" s="106">
        <v>3000</v>
      </c>
      <c r="H25" s="106">
        <v>3000</v>
      </c>
      <c r="I25" s="129"/>
      <c r="J25" s="130">
        <v>3000</v>
      </c>
      <c r="K25" s="130">
        <f>J25</f>
        <v>3000</v>
      </c>
      <c r="L25" s="130">
        <v>2955</v>
      </c>
      <c r="M25" s="130">
        <v>0</v>
      </c>
      <c r="N25" s="129">
        <f t="shared" si="3"/>
        <v>-2955</v>
      </c>
      <c r="O25" s="138">
        <f t="shared" si="4"/>
        <v>-1</v>
      </c>
      <c r="Q25" s="132">
        <v>625</v>
      </c>
      <c r="R25" s="164">
        <v>0</v>
      </c>
      <c r="S25" s="164">
        <v>0</v>
      </c>
      <c r="T25" s="132">
        <v>3000</v>
      </c>
      <c r="U25" s="132">
        <f t="shared" si="5"/>
        <v>0</v>
      </c>
      <c r="V25" s="132"/>
      <c r="W25" s="132"/>
      <c r="X25" s="132"/>
      <c r="Y25" s="130">
        <f>T25</f>
        <v>3000</v>
      </c>
      <c r="Z25" s="130">
        <v>3000</v>
      </c>
      <c r="AA25" s="130">
        <v>0</v>
      </c>
      <c r="AB25" s="132">
        <f t="shared" si="7"/>
        <v>0</v>
      </c>
      <c r="AC25" s="132">
        <f t="shared" si="8"/>
        <v>3000</v>
      </c>
      <c r="AD25" s="131">
        <f t="shared" si="9"/>
        <v>0</v>
      </c>
      <c r="AE25" s="133">
        <f t="shared" si="10"/>
        <v>0</v>
      </c>
      <c r="AF25" s="131">
        <f t="shared" si="11"/>
        <v>0</v>
      </c>
      <c r="AG25" s="133">
        <f t="shared" si="12"/>
        <v>-3000</v>
      </c>
      <c r="AH25" s="131">
        <f t="shared" si="13"/>
        <v>-1</v>
      </c>
      <c r="AI25" s="130">
        <v>0</v>
      </c>
      <c r="AJ25" s="130">
        <v>0</v>
      </c>
      <c r="AK25" s="130">
        <f t="shared" si="14"/>
        <v>0</v>
      </c>
      <c r="AL25" s="134"/>
      <c r="AM25" s="130">
        <f t="shared" si="16"/>
        <v>0</v>
      </c>
      <c r="AN25" s="134"/>
      <c r="AO25" s="108">
        <f>AJ25</f>
        <v>0</v>
      </c>
      <c r="AP25" s="108">
        <f t="shared" si="18"/>
        <v>0</v>
      </c>
      <c r="AQ25" s="131"/>
      <c r="AR25" s="130">
        <v>0</v>
      </c>
      <c r="AS25" s="132">
        <f t="shared" si="20"/>
        <v>0</v>
      </c>
      <c r="AT25" s="131"/>
      <c r="AU25" s="108">
        <v>2500</v>
      </c>
      <c r="AV25" s="108">
        <f t="shared" si="35"/>
        <v>2500</v>
      </c>
      <c r="AW25" s="108">
        <f t="shared" si="22"/>
        <v>2500</v>
      </c>
      <c r="AX25" s="131"/>
      <c r="AY25" s="108">
        <v>2500</v>
      </c>
      <c r="AZ25" s="108">
        <f t="shared" si="24"/>
        <v>2500</v>
      </c>
      <c r="BA25" s="131"/>
      <c r="BB25" s="112">
        <f t="shared" si="26"/>
        <v>0</v>
      </c>
      <c r="BC25" s="108">
        <v>2500</v>
      </c>
      <c r="BD25" s="108">
        <f t="shared" si="27"/>
        <v>0</v>
      </c>
      <c r="BE25" s="134">
        <f t="shared" si="28"/>
        <v>0</v>
      </c>
      <c r="BF25" s="108">
        <v>2255</v>
      </c>
      <c r="BG25" s="108">
        <v>2500</v>
      </c>
      <c r="BH25" s="108">
        <v>2652</v>
      </c>
      <c r="BI25" s="108">
        <v>2500</v>
      </c>
      <c r="BJ25" s="108">
        <v>2500</v>
      </c>
      <c r="BK25" s="108">
        <v>2500</v>
      </c>
      <c r="BL25" s="108">
        <v>2500</v>
      </c>
      <c r="BM25" s="108">
        <v>2478</v>
      </c>
      <c r="BN25" s="108">
        <v>2500</v>
      </c>
      <c r="BO25" s="108">
        <v>0</v>
      </c>
      <c r="BP25" s="108">
        <f t="shared" si="29"/>
        <v>0</v>
      </c>
      <c r="BQ25" s="134">
        <f t="shared" si="30"/>
        <v>0</v>
      </c>
      <c r="BR25" s="111">
        <f t="shared" si="31"/>
        <v>-2500</v>
      </c>
      <c r="BS25" s="108">
        <v>2500</v>
      </c>
      <c r="BT25" s="108">
        <v>2500</v>
      </c>
      <c r="BU25" s="108">
        <v>2500</v>
      </c>
      <c r="BV25" s="108">
        <v>4200</v>
      </c>
      <c r="BW25" s="108">
        <v>4200</v>
      </c>
      <c r="BX25" s="108">
        <v>4200</v>
      </c>
      <c r="BY25" s="108">
        <f t="shared" si="32"/>
        <v>4200</v>
      </c>
      <c r="BZ25" s="108">
        <v>4200</v>
      </c>
      <c r="CA25" s="108">
        <v>4200</v>
      </c>
      <c r="CB25" s="108">
        <v>4200</v>
      </c>
      <c r="CC25" s="108">
        <f t="shared" si="34"/>
        <v>4200</v>
      </c>
      <c r="CD25" s="108">
        <v>4200</v>
      </c>
      <c r="CE25" s="108">
        <f t="shared" si="36"/>
        <v>4200</v>
      </c>
      <c r="CF25" s="108">
        <v>4200</v>
      </c>
    </row>
    <row r="26" spans="1:84" x14ac:dyDescent="0.4">
      <c r="A26" s="124"/>
      <c r="B26" s="124" t="s">
        <v>272</v>
      </c>
      <c r="C26" s="110" t="s">
        <v>273</v>
      </c>
      <c r="D26" s="106"/>
      <c r="E26" s="106"/>
      <c r="F26" s="128"/>
      <c r="G26" s="106"/>
      <c r="H26" s="106"/>
      <c r="I26" s="129"/>
      <c r="J26" s="130"/>
      <c r="K26" s="130"/>
      <c r="L26" s="130"/>
      <c r="M26" s="130"/>
      <c r="N26" s="129"/>
      <c r="O26" s="138"/>
      <c r="Q26" s="132"/>
      <c r="R26" s="164"/>
      <c r="S26" s="164"/>
      <c r="T26" s="132"/>
      <c r="U26" s="132"/>
      <c r="V26" s="132"/>
      <c r="W26" s="132"/>
      <c r="X26" s="132"/>
      <c r="Y26" s="130"/>
      <c r="Z26" s="130"/>
      <c r="AA26" s="130"/>
      <c r="AB26" s="132"/>
      <c r="AC26" s="132"/>
      <c r="AD26" s="131"/>
      <c r="AE26" s="133"/>
      <c r="AF26" s="131"/>
      <c r="AG26" s="133"/>
      <c r="AH26" s="131"/>
      <c r="AI26" s="130"/>
      <c r="AJ26" s="130"/>
      <c r="AK26" s="130"/>
      <c r="AL26" s="134"/>
      <c r="AM26" s="130"/>
      <c r="AN26" s="134"/>
      <c r="AO26" s="108"/>
      <c r="AP26" s="108"/>
      <c r="AQ26" s="131"/>
      <c r="AR26" s="130"/>
      <c r="AS26" s="132"/>
      <c r="AT26" s="131"/>
      <c r="AU26" s="108"/>
      <c r="AV26" s="108"/>
      <c r="AW26" s="108"/>
      <c r="AX26" s="131"/>
      <c r="AY26" s="108"/>
      <c r="AZ26" s="108"/>
      <c r="BA26" s="131"/>
      <c r="BC26" s="108"/>
      <c r="BD26" s="108"/>
      <c r="BE26" s="134"/>
      <c r="BF26" s="108"/>
      <c r="BG26" s="108"/>
      <c r="BH26" s="108">
        <v>0</v>
      </c>
      <c r="BI26" s="108"/>
      <c r="BJ26" s="108"/>
      <c r="BK26" s="108"/>
      <c r="BL26" s="108"/>
      <c r="BM26" s="108">
        <v>0</v>
      </c>
      <c r="BN26" s="108"/>
      <c r="BO26" s="108"/>
      <c r="BP26" s="108"/>
      <c r="BQ26" s="134"/>
      <c r="BS26" s="108">
        <v>0</v>
      </c>
      <c r="BT26" s="108"/>
      <c r="BU26" s="108">
        <v>0</v>
      </c>
      <c r="BV26" s="108"/>
      <c r="BW26" s="108"/>
      <c r="BX26" s="108">
        <v>0</v>
      </c>
      <c r="BY26" s="108"/>
      <c r="BZ26" s="108">
        <v>0</v>
      </c>
      <c r="CA26" s="108">
        <v>0</v>
      </c>
      <c r="CB26" s="108">
        <v>0</v>
      </c>
      <c r="CC26" s="108">
        <v>0</v>
      </c>
      <c r="CD26" s="108">
        <v>0</v>
      </c>
      <c r="CE26" s="108">
        <v>0</v>
      </c>
      <c r="CF26" s="108">
        <v>0</v>
      </c>
    </row>
    <row r="27" spans="1:84" ht="12.75" customHeight="1" x14ac:dyDescent="0.4">
      <c r="A27" s="124">
        <v>132</v>
      </c>
      <c r="B27" s="124">
        <f>B25+1</f>
        <v>13</v>
      </c>
      <c r="C27" s="127" t="s">
        <v>274</v>
      </c>
      <c r="D27" s="155">
        <v>168243</v>
      </c>
      <c r="E27" s="155">
        <v>55026</v>
      </c>
      <c r="F27" s="155">
        <v>92580</v>
      </c>
      <c r="G27" s="155">
        <v>43645</v>
      </c>
      <c r="H27" s="155">
        <v>84739</v>
      </c>
      <c r="I27" s="156"/>
      <c r="J27" s="157">
        <v>20000</v>
      </c>
      <c r="K27" s="157">
        <v>50000</v>
      </c>
      <c r="L27" s="157">
        <v>50000</v>
      </c>
      <c r="M27" s="157">
        <v>50000</v>
      </c>
      <c r="N27" s="156">
        <f t="shared" si="3"/>
        <v>0</v>
      </c>
      <c r="O27" s="158">
        <f t="shared" si="4"/>
        <v>0</v>
      </c>
      <c r="P27" s="165"/>
      <c r="Q27" s="157">
        <v>68792.42</v>
      </c>
      <c r="R27" s="157">
        <v>46825.99</v>
      </c>
      <c r="S27" s="157">
        <v>77599</v>
      </c>
      <c r="T27" s="157">
        <v>82603</v>
      </c>
      <c r="U27" s="160">
        <f t="shared" si="5"/>
        <v>30773.010000000002</v>
      </c>
      <c r="V27" s="160">
        <f>U27/Q27</f>
        <v>0.44733140657066583</v>
      </c>
      <c r="W27" s="160"/>
      <c r="X27" s="160"/>
      <c r="Y27" s="160">
        <f>T27</f>
        <v>82603</v>
      </c>
      <c r="Z27" s="160">
        <v>97603</v>
      </c>
      <c r="AA27" s="160">
        <v>79773</v>
      </c>
      <c r="AB27" s="160">
        <f t="shared" si="7"/>
        <v>0</v>
      </c>
      <c r="AC27" s="160">
        <f t="shared" si="8"/>
        <v>5004</v>
      </c>
      <c r="AD27" s="161">
        <f t="shared" si="9"/>
        <v>0</v>
      </c>
      <c r="AE27" s="162">
        <f t="shared" si="10"/>
        <v>15000</v>
      </c>
      <c r="AF27" s="161">
        <f t="shared" si="11"/>
        <v>0.18159146762224132</v>
      </c>
      <c r="AG27" s="162">
        <f t="shared" si="12"/>
        <v>-2830</v>
      </c>
      <c r="AH27" s="161">
        <f t="shared" si="13"/>
        <v>-3.4260256891396196E-2</v>
      </c>
      <c r="AI27" s="160">
        <v>81000</v>
      </c>
      <c r="AJ27" s="160">
        <v>150000</v>
      </c>
      <c r="AK27" s="157">
        <f t="shared" si="14"/>
        <v>1227</v>
      </c>
      <c r="AL27" s="163">
        <f>AK27/AA27</f>
        <v>1.5381143996088902E-2</v>
      </c>
      <c r="AM27" s="157">
        <f t="shared" si="16"/>
        <v>70227</v>
      </c>
      <c r="AN27" s="163">
        <f>AM27/AA27</f>
        <v>0.88033545184460904</v>
      </c>
      <c r="AO27" s="108">
        <v>36140</v>
      </c>
      <c r="AP27" s="108">
        <f t="shared" si="18"/>
        <v>-43633</v>
      </c>
      <c r="AQ27" s="131">
        <f>AP27/AA27</f>
        <v>-0.54696451180223882</v>
      </c>
      <c r="AR27" s="132">
        <v>90000</v>
      </c>
      <c r="AS27" s="132">
        <f t="shared" si="20"/>
        <v>10227</v>
      </c>
      <c r="AT27" s="131">
        <f>AS27/AA27</f>
        <v>0.12820127110676544</v>
      </c>
      <c r="AU27" s="108">
        <v>80000</v>
      </c>
      <c r="AV27" s="108">
        <f t="shared" si="35"/>
        <v>40000</v>
      </c>
      <c r="AW27" s="108">
        <f t="shared" si="22"/>
        <v>3860</v>
      </c>
      <c r="AX27" s="131">
        <f>AW27/AO27</f>
        <v>0.10680686220254565</v>
      </c>
      <c r="AY27" s="108">
        <v>40000</v>
      </c>
      <c r="AZ27" s="108">
        <f t="shared" si="24"/>
        <v>3860</v>
      </c>
      <c r="BA27" s="131">
        <f>AZ27/AO27</f>
        <v>0.10680686220254565</v>
      </c>
      <c r="BB27" s="112">
        <f t="shared" si="26"/>
        <v>0</v>
      </c>
      <c r="BC27" s="108">
        <v>50000</v>
      </c>
      <c r="BD27" s="108">
        <f t="shared" si="27"/>
        <v>10000</v>
      </c>
      <c r="BE27" s="134">
        <f t="shared" si="28"/>
        <v>0.25</v>
      </c>
      <c r="BF27" s="108">
        <v>0</v>
      </c>
      <c r="BG27" s="108">
        <v>50000</v>
      </c>
      <c r="BH27" s="108">
        <v>0</v>
      </c>
      <c r="BI27" s="108">
        <v>75000</v>
      </c>
      <c r="BJ27" s="108">
        <v>50000</v>
      </c>
      <c r="BK27" s="108">
        <f>50000-5606.98</f>
        <v>44393.020000000004</v>
      </c>
      <c r="BL27" s="108">
        <v>50000</v>
      </c>
      <c r="BM27" s="108">
        <v>44393.02</v>
      </c>
      <c r="BN27" s="108">
        <v>50000</v>
      </c>
      <c r="BO27" s="108">
        <v>288432</v>
      </c>
      <c r="BP27" s="108">
        <f t="shared" si="29"/>
        <v>5606.9799999999959</v>
      </c>
      <c r="BQ27" s="134">
        <f t="shared" si="30"/>
        <v>0.12630318910495378</v>
      </c>
      <c r="BR27" s="111">
        <f t="shared" si="31"/>
        <v>238432</v>
      </c>
      <c r="BS27" s="108">
        <v>0</v>
      </c>
      <c r="BT27" s="108">
        <v>50000</v>
      </c>
      <c r="BU27" s="108">
        <v>0</v>
      </c>
      <c r="BV27" s="108">
        <f>50000+116097-116097</f>
        <v>50000</v>
      </c>
      <c r="BW27" s="108">
        <v>50000</v>
      </c>
      <c r="BX27" s="108">
        <v>0</v>
      </c>
      <c r="BY27" s="136">
        <v>89116</v>
      </c>
      <c r="BZ27" s="136">
        <v>0</v>
      </c>
      <c r="CA27" s="136">
        <f>50000+77993</f>
        <v>127993</v>
      </c>
      <c r="CB27" s="136">
        <v>75000</v>
      </c>
      <c r="CC27" s="108">
        <f t="shared" si="34"/>
        <v>75000</v>
      </c>
      <c r="CD27" s="108">
        <v>0</v>
      </c>
      <c r="CE27" s="136">
        <f>75000</f>
        <v>75000</v>
      </c>
      <c r="CF27" s="136">
        <v>75000</v>
      </c>
    </row>
    <row r="28" spans="1:84" ht="12.75" customHeight="1" x14ac:dyDescent="0.4">
      <c r="A28" s="124"/>
      <c r="B28" s="124" t="s">
        <v>275</v>
      </c>
      <c r="C28" s="127" t="s">
        <v>276</v>
      </c>
      <c r="D28" s="144"/>
      <c r="E28" s="144">
        <v>0</v>
      </c>
      <c r="F28" s="145">
        <v>0</v>
      </c>
      <c r="G28" s="144">
        <v>0</v>
      </c>
      <c r="H28" s="144">
        <v>0</v>
      </c>
      <c r="I28" s="146"/>
      <c r="J28" s="147">
        <v>32250</v>
      </c>
      <c r="K28" s="147">
        <v>0</v>
      </c>
      <c r="L28" s="147">
        <f>K28</f>
        <v>0</v>
      </c>
      <c r="M28" s="147">
        <v>9200</v>
      </c>
      <c r="N28" s="146">
        <f t="shared" si="3"/>
        <v>9200</v>
      </c>
      <c r="O28" s="148"/>
      <c r="P28" s="126"/>
      <c r="Q28" s="147">
        <v>8507</v>
      </c>
      <c r="R28" s="147">
        <v>44854</v>
      </c>
      <c r="S28" s="147">
        <v>10001</v>
      </c>
      <c r="T28" s="147">
        <v>29897</v>
      </c>
      <c r="U28" s="150">
        <f t="shared" si="5"/>
        <v>-34853</v>
      </c>
      <c r="V28" s="150">
        <f>U28/Q28</f>
        <v>-4.0969789585047609</v>
      </c>
      <c r="W28" s="150"/>
      <c r="X28" s="150"/>
      <c r="Y28" s="150">
        <f>T28</f>
        <v>29897</v>
      </c>
      <c r="Z28" s="150">
        <v>45001</v>
      </c>
      <c r="AA28" s="150">
        <v>1140</v>
      </c>
      <c r="AB28" s="150">
        <f t="shared" si="7"/>
        <v>0</v>
      </c>
      <c r="AC28" s="150">
        <f t="shared" si="8"/>
        <v>19896</v>
      </c>
      <c r="AD28" s="151">
        <f t="shared" si="9"/>
        <v>0</v>
      </c>
      <c r="AE28" s="152">
        <f t="shared" si="10"/>
        <v>15104</v>
      </c>
      <c r="AF28" s="151">
        <f t="shared" si="11"/>
        <v>0.5052011907549252</v>
      </c>
      <c r="AG28" s="152">
        <f t="shared" si="12"/>
        <v>-28757</v>
      </c>
      <c r="AH28" s="151">
        <f t="shared" si="13"/>
        <v>-0.96186908385456737</v>
      </c>
      <c r="AI28" s="150">
        <v>26000</v>
      </c>
      <c r="AJ28" s="150">
        <v>45000</v>
      </c>
      <c r="AK28" s="147">
        <f t="shared" si="14"/>
        <v>24860</v>
      </c>
      <c r="AL28" s="153">
        <f>AK28/AA28</f>
        <v>21.807017543859651</v>
      </c>
      <c r="AM28" s="147">
        <f t="shared" si="16"/>
        <v>43860</v>
      </c>
      <c r="AN28" s="153">
        <f>AM28/AA28</f>
        <v>38.473684210526315</v>
      </c>
      <c r="AO28" s="108">
        <v>28549</v>
      </c>
      <c r="AP28" s="108">
        <f t="shared" si="18"/>
        <v>27409</v>
      </c>
      <c r="AQ28" s="131">
        <f>AP28/AA28</f>
        <v>24.042982456140351</v>
      </c>
      <c r="AR28" s="132">
        <v>28955</v>
      </c>
      <c r="AS28" s="132">
        <f t="shared" si="20"/>
        <v>27815</v>
      </c>
      <c r="AT28" s="131">
        <f>AS28/AA28</f>
        <v>24.399122807017545</v>
      </c>
      <c r="AU28" s="108">
        <v>100000</v>
      </c>
      <c r="AV28" s="108">
        <f t="shared" si="35"/>
        <v>3905</v>
      </c>
      <c r="AW28" s="108">
        <f t="shared" si="22"/>
        <v>-24644</v>
      </c>
      <c r="AX28" s="131">
        <f>AW28/AO28</f>
        <v>-0.86321762583628148</v>
      </c>
      <c r="AY28" s="108">
        <v>3905</v>
      </c>
      <c r="AZ28" s="108">
        <f t="shared" si="24"/>
        <v>-24644</v>
      </c>
      <c r="BA28" s="131">
        <f>AZ28/AO28</f>
        <v>-0.86321762583628148</v>
      </c>
      <c r="BB28" s="112">
        <f t="shared" si="26"/>
        <v>0</v>
      </c>
      <c r="BC28" s="108">
        <v>49474</v>
      </c>
      <c r="BD28" s="108">
        <f t="shared" si="27"/>
        <v>45569</v>
      </c>
      <c r="BE28" s="134">
        <f t="shared" si="28"/>
        <v>11.669398207426376</v>
      </c>
      <c r="BF28" s="108">
        <v>0</v>
      </c>
      <c r="BG28" s="108">
        <v>30000</v>
      </c>
      <c r="BH28" s="108">
        <v>10360</v>
      </c>
      <c r="BI28" s="108">
        <v>50000</v>
      </c>
      <c r="BJ28" s="108">
        <v>19547.740000000002</v>
      </c>
      <c r="BK28" s="108">
        <f>46032.74-24593-5954</f>
        <v>15485.739999999998</v>
      </c>
      <c r="BL28" s="108">
        <v>114821</v>
      </c>
      <c r="BM28" s="108">
        <f>7320.5+1794.69</f>
        <v>9115.19</v>
      </c>
      <c r="BN28" s="108">
        <v>46878</v>
      </c>
      <c r="BO28" s="108">
        <v>0</v>
      </c>
      <c r="BP28" s="108">
        <f t="shared" si="29"/>
        <v>31392.260000000002</v>
      </c>
      <c r="BQ28" s="134">
        <f t="shared" si="30"/>
        <v>2.0271720951016876</v>
      </c>
      <c r="BR28" s="111">
        <f t="shared" si="31"/>
        <v>-46878</v>
      </c>
      <c r="BS28" s="108">
        <v>114280.58</v>
      </c>
      <c r="BT28" s="108">
        <v>44020</v>
      </c>
      <c r="BU28" s="108">
        <v>15648.88</v>
      </c>
      <c r="BV28" s="108">
        <v>43000</v>
      </c>
      <c r="BW28" s="108">
        <v>45000</v>
      </c>
      <c r="BX28" s="108">
        <v>20809.11</v>
      </c>
      <c r="BY28" s="108">
        <f>BW28</f>
        <v>45000</v>
      </c>
      <c r="BZ28" s="108">
        <v>30900.83</v>
      </c>
      <c r="CA28" s="108">
        <v>23530.33</v>
      </c>
      <c r="CB28" s="108">
        <v>93999</v>
      </c>
      <c r="CC28" s="108">
        <f t="shared" si="34"/>
        <v>93999</v>
      </c>
      <c r="CD28" s="108">
        <v>12808.8</v>
      </c>
      <c r="CE28" s="108">
        <f>CC28</f>
        <v>93999</v>
      </c>
      <c r="CF28" s="108">
        <v>94000</v>
      </c>
    </row>
    <row r="29" spans="1:84" ht="12.75" customHeight="1" x14ac:dyDescent="0.4">
      <c r="A29" s="124">
        <v>913</v>
      </c>
      <c r="B29" s="124">
        <f>B27+1</f>
        <v>14</v>
      </c>
      <c r="C29" s="127" t="s">
        <v>277</v>
      </c>
      <c r="D29" s="106">
        <v>19614</v>
      </c>
      <c r="E29" s="106">
        <v>2102</v>
      </c>
      <c r="F29" s="128">
        <v>4830</v>
      </c>
      <c r="G29" s="106">
        <v>3427</v>
      </c>
      <c r="H29" s="106">
        <v>32144</v>
      </c>
      <c r="I29" s="129"/>
      <c r="J29" s="130">
        <v>23119</v>
      </c>
      <c r="K29" s="130">
        <f>J29</f>
        <v>23119</v>
      </c>
      <c r="L29" s="130">
        <v>15819</v>
      </c>
      <c r="M29" s="130">
        <v>5000</v>
      </c>
      <c r="N29" s="129">
        <f t="shared" si="3"/>
        <v>-10819</v>
      </c>
      <c r="O29" s="138">
        <f>N29/L29</f>
        <v>-0.68392439471521593</v>
      </c>
      <c r="Q29" s="130">
        <v>9836.4500000000007</v>
      </c>
      <c r="R29" s="130">
        <v>53.8</v>
      </c>
      <c r="S29" s="130">
        <v>8000</v>
      </c>
      <c r="T29" s="130">
        <v>7870</v>
      </c>
      <c r="U29" s="132">
        <f t="shared" si="5"/>
        <v>7946.2</v>
      </c>
      <c r="V29" s="132">
        <f>U29/Q29</f>
        <v>0.80783209389566346</v>
      </c>
      <c r="W29" s="132"/>
      <c r="X29" s="132"/>
      <c r="Y29" s="132">
        <v>8000</v>
      </c>
      <c r="Z29" s="132">
        <v>8000</v>
      </c>
      <c r="AA29" s="132">
        <v>19578</v>
      </c>
      <c r="AB29" s="132">
        <f t="shared" si="7"/>
        <v>130</v>
      </c>
      <c r="AC29" s="132">
        <f t="shared" si="8"/>
        <v>-130</v>
      </c>
      <c r="AD29" s="131">
        <f t="shared" si="9"/>
        <v>1.6518424396442185E-2</v>
      </c>
      <c r="AE29" s="133">
        <f t="shared" si="10"/>
        <v>130</v>
      </c>
      <c r="AF29" s="131">
        <f t="shared" si="11"/>
        <v>1.6518424396442185E-2</v>
      </c>
      <c r="AG29" s="133">
        <f t="shared" si="12"/>
        <v>11708</v>
      </c>
      <c r="AH29" s="131">
        <f t="shared" si="13"/>
        <v>1.4876747141041931</v>
      </c>
      <c r="AI29" s="132">
        <v>8000</v>
      </c>
      <c r="AJ29" s="132">
        <v>8000</v>
      </c>
      <c r="AK29" s="130">
        <f t="shared" si="14"/>
        <v>-11578</v>
      </c>
      <c r="AL29" s="134">
        <f>AK29/AA29</f>
        <v>-0.59137807743385429</v>
      </c>
      <c r="AM29" s="130">
        <f t="shared" si="16"/>
        <v>-11578</v>
      </c>
      <c r="AN29" s="134">
        <f>AM29/AA29</f>
        <v>-0.59137807743385429</v>
      </c>
      <c r="AO29" s="108">
        <v>18632</v>
      </c>
      <c r="AP29" s="108">
        <f t="shared" si="18"/>
        <v>-946</v>
      </c>
      <c r="AQ29" s="131">
        <f>AP29/AA29</f>
        <v>-4.8319542343446722E-2</v>
      </c>
      <c r="AR29" s="132">
        <v>8000</v>
      </c>
      <c r="AS29" s="132">
        <f t="shared" si="20"/>
        <v>-11578</v>
      </c>
      <c r="AT29" s="131">
        <f>AS29/AA29</f>
        <v>-0.59137807743385429</v>
      </c>
      <c r="AU29" s="108">
        <v>8000</v>
      </c>
      <c r="AV29" s="108">
        <f t="shared" si="35"/>
        <v>2425</v>
      </c>
      <c r="AW29" s="108">
        <f t="shared" si="22"/>
        <v>-16207</v>
      </c>
      <c r="AX29" s="131">
        <f>AW29/AO29</f>
        <v>-0.86984757406612279</v>
      </c>
      <c r="AY29" s="108">
        <v>2425</v>
      </c>
      <c r="AZ29" s="108">
        <f t="shared" si="24"/>
        <v>-16207</v>
      </c>
      <c r="BA29" s="131">
        <f>AZ29/AO29</f>
        <v>-0.86984757406612279</v>
      </c>
      <c r="BB29" s="112">
        <f t="shared" si="26"/>
        <v>0</v>
      </c>
      <c r="BC29" s="108">
        <v>10000</v>
      </c>
      <c r="BD29" s="108">
        <f t="shared" si="27"/>
        <v>7575</v>
      </c>
      <c r="BE29" s="134">
        <f t="shared" si="28"/>
        <v>3.1237113402061856</v>
      </c>
      <c r="BF29" s="108">
        <v>19671</v>
      </c>
      <c r="BG29" s="108">
        <v>15000</v>
      </c>
      <c r="BH29" s="108">
        <v>30727</v>
      </c>
      <c r="BI29" s="108">
        <v>25000</v>
      </c>
      <c r="BJ29" s="108">
        <v>25000</v>
      </c>
      <c r="BK29" s="108">
        <v>25000</v>
      </c>
      <c r="BL29" s="108">
        <v>25000</v>
      </c>
      <c r="BM29" s="108">
        <v>44017.31</v>
      </c>
      <c r="BN29" s="108">
        <v>48202</v>
      </c>
      <c r="BO29" s="108">
        <v>0</v>
      </c>
      <c r="BP29" s="108">
        <f t="shared" si="29"/>
        <v>23202</v>
      </c>
      <c r="BQ29" s="134">
        <f t="shared" si="30"/>
        <v>0.92808000000000002</v>
      </c>
      <c r="BR29" s="111">
        <f t="shared" si="31"/>
        <v>-48202</v>
      </c>
      <c r="BS29" s="108">
        <v>10282</v>
      </c>
      <c r="BT29" s="108">
        <v>15000</v>
      </c>
      <c r="BU29" s="108">
        <v>11312.71</v>
      </c>
      <c r="BV29" s="108">
        <v>15000</v>
      </c>
      <c r="BW29" s="108">
        <v>10000</v>
      </c>
      <c r="BX29" s="108">
        <v>1577.68</v>
      </c>
      <c r="BY29" s="108">
        <f>BW29</f>
        <v>10000</v>
      </c>
      <c r="BZ29" s="108">
        <v>-429</v>
      </c>
      <c r="CA29" s="108">
        <v>10000</v>
      </c>
      <c r="CB29" s="108">
        <v>10000</v>
      </c>
      <c r="CC29" s="108">
        <f t="shared" si="34"/>
        <v>10000</v>
      </c>
      <c r="CD29" s="108">
        <v>0</v>
      </c>
      <c r="CE29" s="108">
        <f>CC29</f>
        <v>10000</v>
      </c>
      <c r="CF29" s="108">
        <v>10000</v>
      </c>
    </row>
    <row r="30" spans="1:84" ht="12.75" customHeight="1" x14ac:dyDescent="0.4">
      <c r="A30" s="124"/>
      <c r="B30" s="124" t="s">
        <v>278</v>
      </c>
      <c r="C30" s="127" t="s">
        <v>279</v>
      </c>
      <c r="D30" s="106"/>
      <c r="E30" s="106"/>
      <c r="F30" s="128"/>
      <c r="G30" s="106"/>
      <c r="H30" s="106"/>
      <c r="I30" s="129"/>
      <c r="J30" s="130"/>
      <c r="K30" s="130"/>
      <c r="L30" s="130"/>
      <c r="M30" s="130"/>
      <c r="N30" s="129"/>
      <c r="O30" s="138"/>
      <c r="Q30" s="130"/>
      <c r="R30" s="130"/>
      <c r="S30" s="130"/>
      <c r="T30" s="130"/>
      <c r="U30" s="132"/>
      <c r="V30" s="132"/>
      <c r="W30" s="132"/>
      <c r="X30" s="132"/>
      <c r="Y30" s="132"/>
      <c r="Z30" s="132"/>
      <c r="AA30" s="132"/>
      <c r="AB30" s="132"/>
      <c r="AC30" s="132"/>
      <c r="AD30" s="131"/>
      <c r="AE30" s="133"/>
      <c r="AF30" s="131"/>
      <c r="AG30" s="133"/>
      <c r="AH30" s="131"/>
      <c r="AI30" s="132"/>
      <c r="AJ30" s="132"/>
      <c r="AK30" s="130"/>
      <c r="AL30" s="134"/>
      <c r="AM30" s="130"/>
      <c r="AN30" s="134"/>
      <c r="AO30" s="108"/>
      <c r="AP30" s="108"/>
      <c r="AQ30" s="131"/>
      <c r="AR30" s="132"/>
      <c r="AS30" s="132"/>
      <c r="AT30" s="131"/>
      <c r="AU30" s="108"/>
      <c r="AV30" s="108"/>
      <c r="AW30" s="108"/>
      <c r="AX30" s="131"/>
      <c r="AY30" s="108"/>
      <c r="AZ30" s="108"/>
      <c r="BA30" s="131"/>
      <c r="BC30" s="108"/>
      <c r="BD30" s="108"/>
      <c r="BE30" s="134"/>
      <c r="BF30" s="108"/>
      <c r="BG30" s="108"/>
      <c r="BH30" s="108">
        <v>18627</v>
      </c>
      <c r="BI30" s="108">
        <v>0</v>
      </c>
      <c r="BJ30" s="108">
        <v>0</v>
      </c>
      <c r="BK30" s="108">
        <v>0</v>
      </c>
      <c r="BL30" s="108">
        <v>0</v>
      </c>
      <c r="BM30" s="108"/>
      <c r="BN30" s="108">
        <v>0</v>
      </c>
      <c r="BO30" s="108">
        <v>0</v>
      </c>
      <c r="BP30" s="108">
        <f t="shared" si="29"/>
        <v>0</v>
      </c>
      <c r="BQ30" s="134"/>
      <c r="BR30" s="111">
        <f t="shared" si="31"/>
        <v>0</v>
      </c>
      <c r="BS30" s="108">
        <v>0</v>
      </c>
      <c r="BT30" s="108">
        <v>0</v>
      </c>
      <c r="BU30" s="108">
        <v>0</v>
      </c>
      <c r="BV30" s="108">
        <v>0</v>
      </c>
      <c r="BW30" s="108">
        <v>0</v>
      </c>
      <c r="BX30" s="108">
        <v>0</v>
      </c>
      <c r="BY30" s="108">
        <f>BW30</f>
        <v>0</v>
      </c>
      <c r="BZ30" s="108">
        <v>0</v>
      </c>
      <c r="CA30" s="108">
        <v>0</v>
      </c>
      <c r="CB30" s="108">
        <v>0</v>
      </c>
      <c r="CC30" s="108">
        <f t="shared" si="34"/>
        <v>0</v>
      </c>
      <c r="CD30" s="108">
        <v>0</v>
      </c>
      <c r="CE30" s="108">
        <f>CC30</f>
        <v>0</v>
      </c>
      <c r="CF30" s="108">
        <v>0</v>
      </c>
    </row>
    <row r="31" spans="1:84" s="139" customFormat="1" ht="12.75" customHeight="1" x14ac:dyDescent="0.4">
      <c r="A31" s="154">
        <v>914.3</v>
      </c>
      <c r="B31" s="124">
        <f>B29+1</f>
        <v>15</v>
      </c>
      <c r="C31" s="127" t="s">
        <v>280</v>
      </c>
      <c r="D31" s="106">
        <v>68357</v>
      </c>
      <c r="E31" s="106">
        <v>75888</v>
      </c>
      <c r="F31" s="128">
        <v>83644</v>
      </c>
      <c r="G31" s="137">
        <v>93163</v>
      </c>
      <c r="H31" s="137">
        <v>101188</v>
      </c>
      <c r="I31" s="129"/>
      <c r="J31" s="130">
        <v>122053</v>
      </c>
      <c r="K31" s="130">
        <f>J31</f>
        <v>122053</v>
      </c>
      <c r="L31" s="130">
        <v>127813</v>
      </c>
      <c r="M31" s="130">
        <v>128000</v>
      </c>
      <c r="N31" s="129">
        <f>M31-L31</f>
        <v>187</v>
      </c>
      <c r="O31" s="138">
        <f>N31/L31</f>
        <v>1.4630749610759469E-3</v>
      </c>
      <c r="Q31" s="130">
        <v>134693.84</v>
      </c>
      <c r="R31" s="130">
        <v>144475.76999999999</v>
      </c>
      <c r="S31" s="130">
        <v>140000</v>
      </c>
      <c r="T31" s="130">
        <v>158035</v>
      </c>
      <c r="U31" s="132">
        <f>S31-R31</f>
        <v>-4475.7699999999895</v>
      </c>
      <c r="V31" s="132">
        <f>U31/Q31</f>
        <v>-3.3229210779052623E-2</v>
      </c>
      <c r="W31" s="132"/>
      <c r="X31" s="132"/>
      <c r="Y31" s="132">
        <f>T31</f>
        <v>158035</v>
      </c>
      <c r="Z31" s="132">
        <v>140000</v>
      </c>
      <c r="AA31" s="132">
        <v>172052</v>
      </c>
      <c r="AB31" s="132">
        <f>Y31-T31</f>
        <v>0</v>
      </c>
      <c r="AC31" s="132">
        <f>T31-S31</f>
        <v>18035</v>
      </c>
      <c r="AD31" s="131">
        <f>AB31/T31</f>
        <v>0</v>
      </c>
      <c r="AE31" s="133">
        <f>Z31-T31</f>
        <v>-18035</v>
      </c>
      <c r="AF31" s="131">
        <f>AE31/T31</f>
        <v>-0.11412028980921948</v>
      </c>
      <c r="AG31" s="133">
        <f>AA31-T31</f>
        <v>14017</v>
      </c>
      <c r="AH31" s="131">
        <f>AG31/T31</f>
        <v>8.8695542126744076E-2</v>
      </c>
      <c r="AI31" s="132">
        <v>165000</v>
      </c>
      <c r="AJ31" s="132">
        <v>165000</v>
      </c>
      <c r="AK31" s="130">
        <f>AI31-AA31</f>
        <v>-7052</v>
      </c>
      <c r="AL31" s="134">
        <f>AK31/AA31</f>
        <v>-4.0987608397461232E-2</v>
      </c>
      <c r="AM31" s="130">
        <f>AJ31-AA31</f>
        <v>-7052</v>
      </c>
      <c r="AN31" s="134">
        <f>AM31/AA31</f>
        <v>-4.0987608397461232E-2</v>
      </c>
      <c r="AO31" s="108">
        <v>185738</v>
      </c>
      <c r="AP31" s="108">
        <f>AO31-AA31</f>
        <v>13686</v>
      </c>
      <c r="AQ31" s="131">
        <f>AP31/AA31</f>
        <v>7.9545718736196036E-2</v>
      </c>
      <c r="AR31" s="132">
        <v>165000</v>
      </c>
      <c r="AS31" s="132">
        <f>AR31-AA31</f>
        <v>-7052</v>
      </c>
      <c r="AT31" s="131">
        <f>AS31/AA31</f>
        <v>-4.0987608397461232E-2</v>
      </c>
      <c r="AU31" s="108">
        <v>165000</v>
      </c>
      <c r="AV31" s="108">
        <f>AY31</f>
        <v>205675</v>
      </c>
      <c r="AW31" s="108">
        <f>AV31-AO31</f>
        <v>19937</v>
      </c>
      <c r="AX31" s="131">
        <f>AW31/AO31</f>
        <v>0.10733937051115011</v>
      </c>
      <c r="AY31" s="108">
        <v>205675</v>
      </c>
      <c r="AZ31" s="108">
        <f>AY31-AO31</f>
        <v>19937</v>
      </c>
      <c r="BA31" s="131">
        <f>AZ31/AO31</f>
        <v>0.10733937051115011</v>
      </c>
      <c r="BB31" s="112">
        <f>+AV31-AY31</f>
        <v>0</v>
      </c>
      <c r="BC31" s="108">
        <v>173250</v>
      </c>
      <c r="BD31" s="108">
        <f>BC31-AY31</f>
        <v>-32425</v>
      </c>
      <c r="BE31" s="134">
        <f>BD31/AY31</f>
        <v>-0.15765163486082412</v>
      </c>
      <c r="BF31" s="108">
        <v>121449</v>
      </c>
      <c r="BG31" s="108">
        <v>259087</v>
      </c>
      <c r="BH31" s="108">
        <v>153218</v>
      </c>
      <c r="BI31" s="108">
        <v>229500</v>
      </c>
      <c r="BJ31" s="108">
        <v>229500</v>
      </c>
      <c r="BK31" s="108">
        <v>229500</v>
      </c>
      <c r="BL31" s="108">
        <v>229500</v>
      </c>
      <c r="BM31" s="108">
        <v>204575.88</v>
      </c>
      <c r="BN31" s="108">
        <v>216612</v>
      </c>
      <c r="BO31" s="108">
        <v>0</v>
      </c>
      <c r="BP31" s="108">
        <f t="shared" si="29"/>
        <v>-12888</v>
      </c>
      <c r="BQ31" s="134">
        <f>BP31/BK31</f>
        <v>-5.6156862745098041E-2</v>
      </c>
      <c r="BS31" s="108">
        <v>202915.27</v>
      </c>
      <c r="BT31" s="108">
        <v>205000</v>
      </c>
      <c r="BU31" s="108">
        <v>207617.95</v>
      </c>
      <c r="BV31" s="108">
        <v>213285</v>
      </c>
      <c r="BW31" s="108">
        <v>217551</v>
      </c>
      <c r="BX31" s="108">
        <v>219228.68</v>
      </c>
      <c r="BY31" s="108">
        <f>BW31</f>
        <v>217551</v>
      </c>
      <c r="BZ31" s="108">
        <v>239302.69</v>
      </c>
      <c r="CA31" s="108">
        <v>237000</v>
      </c>
      <c r="CB31" s="108">
        <v>260700</v>
      </c>
      <c r="CC31" s="108">
        <f t="shared" si="34"/>
        <v>260700</v>
      </c>
      <c r="CD31" s="108">
        <v>244772.53</v>
      </c>
      <c r="CE31" s="108">
        <f>CC31</f>
        <v>260700</v>
      </c>
      <c r="CF31" s="108">
        <v>260700</v>
      </c>
    </row>
    <row r="32" spans="1:84" s="139" customFormat="1" ht="12.75" customHeight="1" x14ac:dyDescent="0.4">
      <c r="A32" s="154"/>
      <c r="B32" s="124"/>
      <c r="C32" s="127"/>
      <c r="D32" s="106"/>
      <c r="E32" s="106"/>
      <c r="F32" s="128"/>
      <c r="G32" s="137"/>
      <c r="H32" s="137"/>
      <c r="I32" s="129"/>
      <c r="J32" s="130"/>
      <c r="K32" s="130"/>
      <c r="L32" s="130"/>
      <c r="M32" s="130"/>
      <c r="N32" s="129"/>
      <c r="O32" s="138"/>
      <c r="Q32" s="130"/>
      <c r="R32" s="130"/>
      <c r="S32" s="130"/>
      <c r="T32" s="130"/>
      <c r="U32" s="132"/>
      <c r="V32" s="132"/>
      <c r="W32" s="132"/>
      <c r="X32" s="132"/>
      <c r="Y32" s="132"/>
      <c r="Z32" s="132"/>
      <c r="AA32" s="132"/>
      <c r="AB32" s="132"/>
      <c r="AC32" s="132"/>
      <c r="AD32" s="131"/>
      <c r="AE32" s="133"/>
      <c r="AF32" s="131"/>
      <c r="AG32" s="133"/>
      <c r="AH32" s="131"/>
      <c r="AI32" s="132"/>
      <c r="AJ32" s="132"/>
      <c r="AK32" s="130"/>
      <c r="AL32" s="134"/>
      <c r="AM32" s="130"/>
      <c r="AN32" s="134"/>
      <c r="AO32" s="108"/>
      <c r="AP32" s="108"/>
      <c r="AQ32" s="131"/>
      <c r="AR32" s="132"/>
      <c r="AS32" s="132"/>
      <c r="AT32" s="131"/>
      <c r="AU32" s="108"/>
      <c r="AV32" s="108"/>
      <c r="AW32" s="108"/>
      <c r="AX32" s="131"/>
      <c r="AY32" s="108"/>
      <c r="AZ32" s="108"/>
      <c r="BA32" s="131"/>
      <c r="BB32" s="112"/>
      <c r="BC32" s="108"/>
      <c r="BD32" s="108"/>
      <c r="BE32" s="134"/>
      <c r="BF32" s="108"/>
      <c r="BG32" s="108"/>
      <c r="BH32" s="108"/>
      <c r="BI32" s="108"/>
      <c r="BJ32" s="108"/>
      <c r="BK32" s="108"/>
      <c r="BL32" s="108"/>
      <c r="BM32" s="108"/>
      <c r="BN32" s="108"/>
      <c r="BO32" s="108"/>
      <c r="BP32" s="108"/>
      <c r="BQ32" s="134"/>
      <c r="BS32" s="108"/>
      <c r="BT32" s="108"/>
      <c r="BU32" s="108"/>
      <c r="BV32" s="108"/>
      <c r="BW32" s="108"/>
      <c r="BX32" s="108"/>
      <c r="BY32" s="108"/>
      <c r="BZ32" s="108"/>
      <c r="CA32" s="108"/>
      <c r="CB32" s="108"/>
      <c r="CC32" s="108"/>
      <c r="CD32" s="108"/>
      <c r="CE32" s="108"/>
      <c r="CF32" s="108"/>
    </row>
    <row r="33" spans="1:84" x14ac:dyDescent="0.4">
      <c r="A33" s="124"/>
      <c r="B33" s="124"/>
      <c r="C33" s="127"/>
      <c r="D33" s="106"/>
      <c r="E33" s="106"/>
      <c r="F33" s="128"/>
      <c r="G33" s="112"/>
      <c r="H33" s="112"/>
      <c r="I33" s="140"/>
      <c r="J33" s="140"/>
      <c r="K33" s="140"/>
      <c r="L33" s="140"/>
      <c r="M33" s="140"/>
      <c r="N33" s="129"/>
      <c r="R33" s="130"/>
      <c r="S33" s="130"/>
      <c r="T33" s="130"/>
      <c r="U33" s="132"/>
      <c r="V33" s="132"/>
      <c r="W33" s="132"/>
      <c r="X33" s="132"/>
      <c r="Y33" s="132"/>
      <c r="Z33" s="132"/>
      <c r="AA33" s="132"/>
      <c r="AB33" s="132"/>
      <c r="AC33" s="132"/>
      <c r="AU33" s="108"/>
      <c r="AV33" s="108"/>
      <c r="AW33" s="108"/>
      <c r="AX33" s="108"/>
      <c r="AY33" s="108"/>
    </row>
    <row r="34" spans="1:84" x14ac:dyDescent="0.4">
      <c r="A34" s="124"/>
      <c r="B34" s="124"/>
      <c r="C34" s="142" t="s">
        <v>281</v>
      </c>
      <c r="D34" s="132">
        <f>SUM(D17:D33)</f>
        <v>1410529</v>
      </c>
      <c r="E34" s="132">
        <f>SUM(E17:E33)</f>
        <v>1331237</v>
      </c>
      <c r="F34" s="132">
        <f>SUM(F17:F33)</f>
        <v>1523174</v>
      </c>
      <c r="G34" s="132">
        <f>SUM(G17:G33)</f>
        <v>1658248</v>
      </c>
      <c r="H34" s="132">
        <f>SUM(H17:H33)</f>
        <v>1922332</v>
      </c>
      <c r="I34" s="166" t="e">
        <f>#REF!-G34</f>
        <v>#REF!</v>
      </c>
      <c r="J34" s="132">
        <f>SUM(J17:J33)</f>
        <v>2356230</v>
      </c>
      <c r="K34" s="132">
        <f>SUM(K17:K33)</f>
        <v>2798484</v>
      </c>
      <c r="L34" s="132">
        <f>SUM(L17:L33)</f>
        <v>2683815</v>
      </c>
      <c r="M34" s="132">
        <f>SUM(M17:M33)</f>
        <v>1611249</v>
      </c>
      <c r="N34" s="132">
        <f>SUM(N17:N33)</f>
        <v>-1072566</v>
      </c>
      <c r="O34" s="131">
        <f>N34/L34</f>
        <v>-0.39964230023306374</v>
      </c>
      <c r="Q34" s="132">
        <f t="shared" ref="Q34:AJ34" si="37">SUM(Q17:Q33)</f>
        <v>1492262.67</v>
      </c>
      <c r="R34" s="130">
        <f t="shared" si="37"/>
        <v>1636086.9</v>
      </c>
      <c r="S34" s="130">
        <f t="shared" si="37"/>
        <v>1783220</v>
      </c>
      <c r="T34" s="130">
        <f t="shared" si="37"/>
        <v>1794477</v>
      </c>
      <c r="U34" s="130">
        <f t="shared" si="37"/>
        <v>147133.1</v>
      </c>
      <c r="V34" s="130">
        <f t="shared" si="37"/>
        <v>7.4633649122778776</v>
      </c>
      <c r="W34" s="130">
        <f t="shared" si="37"/>
        <v>0</v>
      </c>
      <c r="X34" s="130">
        <f t="shared" si="37"/>
        <v>0</v>
      </c>
      <c r="Y34" s="130">
        <f t="shared" si="37"/>
        <v>1973147</v>
      </c>
      <c r="Z34" s="130">
        <f t="shared" si="37"/>
        <v>1990788</v>
      </c>
      <c r="AA34" s="130">
        <f t="shared" si="37"/>
        <v>1945535</v>
      </c>
      <c r="AB34" s="130">
        <f t="shared" si="37"/>
        <v>178670</v>
      </c>
      <c r="AC34" s="130">
        <f t="shared" si="37"/>
        <v>11257</v>
      </c>
      <c r="AD34" s="130">
        <f t="shared" si="37"/>
        <v>0.57948593704848683</v>
      </c>
      <c r="AE34" s="130">
        <f t="shared" si="37"/>
        <v>196311</v>
      </c>
      <c r="AF34" s="130">
        <f t="shared" si="37"/>
        <v>25.235817375852687</v>
      </c>
      <c r="AG34" s="130">
        <f t="shared" si="37"/>
        <v>151058</v>
      </c>
      <c r="AH34" s="130">
        <f t="shared" si="37"/>
        <v>15.805911925669241</v>
      </c>
      <c r="AI34" s="130">
        <f t="shared" si="37"/>
        <v>2181186</v>
      </c>
      <c r="AJ34" s="130">
        <f t="shared" si="37"/>
        <v>2184656</v>
      </c>
      <c r="AK34" s="130">
        <f>AI34-AA34</f>
        <v>235651</v>
      </c>
      <c r="AL34" s="134">
        <f>AK34/AA34</f>
        <v>0.12112400959119214</v>
      </c>
      <c r="AM34" s="130">
        <f>AJ34-AA34</f>
        <v>239121</v>
      </c>
      <c r="AN34" s="134">
        <f>AM34/AA34</f>
        <v>0.12290758069117236</v>
      </c>
      <c r="AO34" s="130">
        <f>SUM(AO17:AO33)</f>
        <v>1986740</v>
      </c>
      <c r="AP34" s="130">
        <f>AO34-AA34</f>
        <v>41205</v>
      </c>
      <c r="AQ34" s="131">
        <f>AP34/AA34</f>
        <v>2.1179264315471066E-2</v>
      </c>
      <c r="AR34" s="130">
        <f>SUM(AR17:AR33)</f>
        <v>2158611</v>
      </c>
      <c r="AS34" s="132">
        <f>AR34-AA34</f>
        <v>213076</v>
      </c>
      <c r="AT34" s="131">
        <f>AS34/AA34</f>
        <v>0.10952051749261771</v>
      </c>
      <c r="AU34" s="130">
        <f>SUM(AU17:AU33)</f>
        <v>2227546</v>
      </c>
      <c r="AV34" s="108">
        <f>AY34</f>
        <v>1989682</v>
      </c>
      <c r="AW34" s="108">
        <f>AV34-AO34</f>
        <v>2942</v>
      </c>
      <c r="AX34" s="131">
        <f>AW34/AO34</f>
        <v>1.480817822160927E-3</v>
      </c>
      <c r="AY34" s="130">
        <f>SUM(AY17:AY33)</f>
        <v>1989682</v>
      </c>
      <c r="AZ34" s="130">
        <f>AY34-AO34</f>
        <v>2942</v>
      </c>
      <c r="BA34" s="131">
        <f>AZ34/AO34</f>
        <v>1.480817822160927E-3</v>
      </c>
      <c r="BB34" s="112">
        <f>+AV34-AY34</f>
        <v>0</v>
      </c>
      <c r="BC34" s="108">
        <f>SUM(BC17:BC33)</f>
        <v>2101485</v>
      </c>
      <c r="BD34" s="108">
        <f>BC34-AY34</f>
        <v>111803</v>
      </c>
      <c r="BE34" s="134">
        <f>BD34/AY34</f>
        <v>5.6191391388171578E-2</v>
      </c>
      <c r="BF34" s="108">
        <f t="shared" ref="BF34:BO34" si="38">SUM(BF17:BF33)</f>
        <v>2003454</v>
      </c>
      <c r="BG34" s="108">
        <f t="shared" si="38"/>
        <v>2452197</v>
      </c>
      <c r="BH34" s="108">
        <f t="shared" si="38"/>
        <v>2166507</v>
      </c>
      <c r="BI34" s="108">
        <f t="shared" si="38"/>
        <v>2564510</v>
      </c>
      <c r="BJ34" s="108">
        <f t="shared" si="38"/>
        <v>2509057.7400000002</v>
      </c>
      <c r="BK34" s="108">
        <f t="shared" si="38"/>
        <v>2499388.7600000002</v>
      </c>
      <c r="BL34" s="108">
        <f t="shared" si="38"/>
        <v>2754212</v>
      </c>
      <c r="BM34" s="108">
        <f t="shared" si="38"/>
        <v>2319678.88</v>
      </c>
      <c r="BN34" s="108">
        <f t="shared" si="38"/>
        <v>2667283</v>
      </c>
      <c r="BO34" s="108">
        <f t="shared" si="38"/>
        <v>288432</v>
      </c>
      <c r="BP34" s="108">
        <f>BN34-BK34</f>
        <v>167894.23999999976</v>
      </c>
      <c r="BQ34" s="134">
        <f>BP34/BK34</f>
        <v>6.7174119803595403E-2</v>
      </c>
      <c r="BS34" s="108">
        <f t="shared" ref="BS34:CF34" si="39">SUM(BS17:BS33)</f>
        <v>2447120.4400000004</v>
      </c>
      <c r="BT34" s="108">
        <f t="shared" si="39"/>
        <v>2382480</v>
      </c>
      <c r="BU34" s="108">
        <f t="shared" si="39"/>
        <v>2159566.46</v>
      </c>
      <c r="BV34" s="108">
        <f t="shared" si="39"/>
        <v>2217069</v>
      </c>
      <c r="BW34" s="108">
        <f t="shared" si="39"/>
        <v>2387468</v>
      </c>
      <c r="BX34" s="108">
        <f t="shared" si="39"/>
        <v>2090944.3</v>
      </c>
      <c r="BY34" s="108">
        <f t="shared" si="39"/>
        <v>2426584</v>
      </c>
      <c r="BZ34" s="108">
        <f t="shared" si="39"/>
        <v>2236617.17</v>
      </c>
      <c r="CA34" s="108">
        <f t="shared" si="39"/>
        <v>2634326.4700000002</v>
      </c>
      <c r="CB34" s="108">
        <f t="shared" si="39"/>
        <v>2881599.67</v>
      </c>
      <c r="CC34" s="108">
        <f t="shared" si="39"/>
        <v>2881599.67</v>
      </c>
      <c r="CD34" s="108">
        <f t="shared" si="39"/>
        <v>2405685.4299999997</v>
      </c>
      <c r="CE34" s="108">
        <f t="shared" si="39"/>
        <v>2911295.9699999997</v>
      </c>
      <c r="CF34" s="108">
        <f t="shared" si="39"/>
        <v>3144790.55</v>
      </c>
    </row>
    <row r="35" spans="1:84" x14ac:dyDescent="0.4">
      <c r="A35" s="124" t="s">
        <v>134</v>
      </c>
      <c r="B35" s="124"/>
      <c r="C35" s="110"/>
      <c r="D35" s="106"/>
      <c r="E35" s="106"/>
      <c r="F35" s="128"/>
      <c r="G35" s="112"/>
      <c r="H35" s="112"/>
      <c r="I35" s="140"/>
      <c r="N35" s="129"/>
      <c r="T35" s="130"/>
      <c r="U35" s="132"/>
      <c r="V35" s="132"/>
      <c r="W35" s="132"/>
      <c r="X35" s="132"/>
      <c r="Y35" s="132"/>
      <c r="Z35" s="132"/>
      <c r="AA35" s="132"/>
      <c r="AB35" s="132"/>
      <c r="AC35" s="132"/>
      <c r="AU35" s="108"/>
      <c r="AV35" s="108"/>
      <c r="AW35" s="108"/>
      <c r="AX35" s="108"/>
      <c r="AY35" s="108"/>
      <c r="BC35" s="108"/>
      <c r="BF35" s="108"/>
    </row>
    <row r="36" spans="1:84" s="141" customFormat="1" x14ac:dyDescent="0.4">
      <c r="A36" s="124" t="s">
        <v>134</v>
      </c>
      <c r="B36" s="124"/>
      <c r="C36" s="125" t="s">
        <v>51</v>
      </c>
      <c r="D36" s="106"/>
      <c r="E36" s="106"/>
      <c r="F36" s="128"/>
      <c r="G36" s="143"/>
      <c r="H36" s="143"/>
      <c r="I36" s="140"/>
      <c r="N36" s="129"/>
      <c r="T36" s="130"/>
      <c r="U36" s="132"/>
      <c r="V36" s="132"/>
      <c r="W36" s="132"/>
      <c r="X36" s="132"/>
      <c r="Y36" s="132"/>
      <c r="Z36" s="132"/>
      <c r="AA36" s="132"/>
      <c r="AB36" s="132"/>
      <c r="AC36" s="132"/>
      <c r="AU36" s="108"/>
      <c r="AV36" s="108"/>
      <c r="AW36" s="108"/>
      <c r="AX36" s="108"/>
      <c r="AY36" s="108"/>
      <c r="BB36" s="143"/>
      <c r="BC36" s="108"/>
      <c r="BF36" s="108"/>
      <c r="BS36" s="108"/>
    </row>
    <row r="37" spans="1:84" ht="12.75" customHeight="1" x14ac:dyDescent="0.4">
      <c r="A37" s="124">
        <v>131</v>
      </c>
      <c r="B37" s="124">
        <f>B31+1</f>
        <v>16</v>
      </c>
      <c r="C37" s="127" t="s">
        <v>282</v>
      </c>
      <c r="D37" s="106">
        <v>711</v>
      </c>
      <c r="E37" s="106">
        <v>651</v>
      </c>
      <c r="F37" s="128">
        <v>587</v>
      </c>
      <c r="G37" s="106">
        <v>500</v>
      </c>
      <c r="H37" s="106">
        <v>1020</v>
      </c>
      <c r="I37" s="129"/>
      <c r="J37" s="130">
        <v>830</v>
      </c>
      <c r="K37" s="130">
        <f>J37</f>
        <v>830</v>
      </c>
      <c r="L37" s="130">
        <v>1026</v>
      </c>
      <c r="M37" s="130">
        <v>500</v>
      </c>
      <c r="N37" s="129">
        <f>M37-L37</f>
        <v>-526</v>
      </c>
      <c r="O37" s="138">
        <f>N37/L37</f>
        <v>-0.51267056530214428</v>
      </c>
      <c r="Q37" s="130">
        <v>350</v>
      </c>
      <c r="R37" s="132">
        <v>337.8</v>
      </c>
      <c r="S37" s="132">
        <v>250</v>
      </c>
      <c r="T37" s="130">
        <v>250</v>
      </c>
      <c r="U37" s="132">
        <f>S37-R37</f>
        <v>-87.800000000000011</v>
      </c>
      <c r="V37" s="132">
        <f>U37/Q37</f>
        <v>-0.25085714285714289</v>
      </c>
      <c r="W37" s="132"/>
      <c r="X37" s="132"/>
      <c r="Y37" s="130">
        <v>635</v>
      </c>
      <c r="Z37" s="130">
        <v>635</v>
      </c>
      <c r="AA37" s="130">
        <v>330</v>
      </c>
      <c r="AB37" s="132">
        <f t="shared" ref="AB37:AB58" si="40">Y37-T37</f>
        <v>385</v>
      </c>
      <c r="AC37" s="132">
        <f>T37-S37</f>
        <v>0</v>
      </c>
      <c r="AD37" s="131">
        <f t="shared" ref="AD37:AD58" si="41">AB37/T37</f>
        <v>1.54</v>
      </c>
      <c r="AE37" s="133">
        <f t="shared" ref="AE37:AE58" si="42">Z37-T37</f>
        <v>385</v>
      </c>
      <c r="AF37" s="131">
        <f t="shared" ref="AF37:AF58" si="43">AE37/T37</f>
        <v>1.54</v>
      </c>
      <c r="AG37" s="133">
        <f t="shared" ref="AG37:AG58" si="44">AA37-T37</f>
        <v>80</v>
      </c>
      <c r="AH37" s="131">
        <f t="shared" ref="AH37:AH58" si="45">AG37/T37</f>
        <v>0.32</v>
      </c>
      <c r="AI37" s="130">
        <v>635</v>
      </c>
      <c r="AJ37" s="130">
        <v>500</v>
      </c>
      <c r="AK37" s="130">
        <f t="shared" ref="AK37:AK58" si="46">AI37-AA37</f>
        <v>305</v>
      </c>
      <c r="AL37" s="134">
        <f>AK37/AA37</f>
        <v>0.9242424242424242</v>
      </c>
      <c r="AM37" s="130">
        <f t="shared" ref="AM37:AM58" si="47">AJ37-AA37</f>
        <v>170</v>
      </c>
      <c r="AN37" s="134">
        <f>AM37/AA37</f>
        <v>0.51515151515151514</v>
      </c>
      <c r="AO37" s="108">
        <v>389</v>
      </c>
      <c r="AP37" s="108">
        <f t="shared" ref="AP37:AP58" si="48">AO37-AA37</f>
        <v>59</v>
      </c>
      <c r="AQ37" s="131">
        <f>AP37/AA37</f>
        <v>0.1787878787878788</v>
      </c>
      <c r="AR37" s="130">
        <v>500</v>
      </c>
      <c r="AS37" s="132">
        <f t="shared" ref="AS37:AS58" si="49">AR37-AA37</f>
        <v>170</v>
      </c>
      <c r="AT37" s="131">
        <f>AS37/AA37</f>
        <v>0.51515151515151514</v>
      </c>
      <c r="AU37" s="108">
        <v>500</v>
      </c>
      <c r="AV37" s="108">
        <f t="shared" ref="AV37:AV49" si="50">AY37</f>
        <v>283</v>
      </c>
      <c r="AW37" s="108">
        <f t="shared" ref="AW37:AW58" si="51">AV37-AO37</f>
        <v>-106</v>
      </c>
      <c r="AX37" s="131">
        <f t="shared" ref="AX37:AX58" si="52">AW37/AO37</f>
        <v>-0.27249357326478146</v>
      </c>
      <c r="AY37" s="108">
        <v>283</v>
      </c>
      <c r="AZ37" s="108">
        <f t="shared" ref="AZ37:AZ58" si="53">AY37-AO37</f>
        <v>-106</v>
      </c>
      <c r="BA37" s="131">
        <f t="shared" ref="BA37:BA58" si="54">AZ37/AO37</f>
        <v>-0.27249357326478146</v>
      </c>
      <c r="BB37" s="112">
        <f t="shared" ref="BB37:BB58" si="55">+AV37-AY37</f>
        <v>0</v>
      </c>
      <c r="BC37" s="108">
        <v>500</v>
      </c>
      <c r="BD37" s="108">
        <f t="shared" ref="BD37:BD58" si="56">BC37-AY37</f>
        <v>217</v>
      </c>
      <c r="BE37" s="134">
        <f>BD37/AY37</f>
        <v>0.7667844522968198</v>
      </c>
      <c r="BF37" s="108">
        <v>173</v>
      </c>
      <c r="BG37" s="108">
        <v>500</v>
      </c>
      <c r="BH37" s="108">
        <v>253</v>
      </c>
      <c r="BI37" s="108">
        <v>850</v>
      </c>
      <c r="BJ37" s="108">
        <v>850</v>
      </c>
      <c r="BK37" s="108">
        <v>850</v>
      </c>
      <c r="BL37" s="108">
        <v>850</v>
      </c>
      <c r="BM37" s="108">
        <v>173</v>
      </c>
      <c r="BN37" s="108">
        <v>850</v>
      </c>
      <c r="BO37" s="108">
        <v>0</v>
      </c>
      <c r="BP37" s="108">
        <f t="shared" ref="BP37:BP58" si="57">BN37-BK37</f>
        <v>0</v>
      </c>
      <c r="BQ37" s="134">
        <f>BP37/BK37</f>
        <v>0</v>
      </c>
      <c r="BR37" s="111">
        <f t="shared" ref="BR37:BR58" si="58">BO37-BN37</f>
        <v>-850</v>
      </c>
      <c r="BS37" s="108">
        <v>173</v>
      </c>
      <c r="BT37" s="108">
        <v>850</v>
      </c>
      <c r="BU37" s="108">
        <v>321</v>
      </c>
      <c r="BV37" s="108">
        <v>850</v>
      </c>
      <c r="BW37" s="108">
        <v>800</v>
      </c>
      <c r="BX37" s="108">
        <v>276</v>
      </c>
      <c r="BY37" s="108">
        <f t="shared" ref="BY37:BY58" si="59">BW37</f>
        <v>800</v>
      </c>
      <c r="BZ37" s="108">
        <v>403.63</v>
      </c>
      <c r="CA37" s="108">
        <v>800</v>
      </c>
      <c r="CB37" s="108">
        <v>800</v>
      </c>
      <c r="CC37" s="108">
        <f t="shared" ref="CC37:CC46" si="60">CB37</f>
        <v>800</v>
      </c>
      <c r="CD37" s="108">
        <v>451.9</v>
      </c>
      <c r="CE37" s="108">
        <f>CC37</f>
        <v>800</v>
      </c>
      <c r="CF37" s="108">
        <v>800</v>
      </c>
    </row>
    <row r="38" spans="1:84" ht="12.75" customHeight="1" x14ac:dyDescent="0.4">
      <c r="A38" s="124">
        <v>136</v>
      </c>
      <c r="B38" s="124">
        <f t="shared" ref="B38:B58" si="61">B37+1</f>
        <v>17</v>
      </c>
      <c r="C38" s="127" t="s">
        <v>283</v>
      </c>
      <c r="D38" s="106">
        <v>10000</v>
      </c>
      <c r="E38" s="106">
        <v>10000</v>
      </c>
      <c r="F38" s="128">
        <v>10000</v>
      </c>
      <c r="G38" s="106">
        <v>10000</v>
      </c>
      <c r="H38" s="106">
        <v>13500</v>
      </c>
      <c r="I38" s="129"/>
      <c r="J38" s="130">
        <v>14500</v>
      </c>
      <c r="K38" s="130">
        <f>J38</f>
        <v>14500</v>
      </c>
      <c r="L38" s="130">
        <v>26500</v>
      </c>
      <c r="M38" s="130">
        <v>19500</v>
      </c>
      <c r="N38" s="129">
        <f>M38-L38</f>
        <v>-7000</v>
      </c>
      <c r="O38" s="138">
        <f>N38/L38</f>
        <v>-0.26415094339622641</v>
      </c>
      <c r="Q38" s="130">
        <v>19500</v>
      </c>
      <c r="R38" s="132">
        <v>23000</v>
      </c>
      <c r="S38" s="132">
        <v>25000</v>
      </c>
      <c r="T38" s="130">
        <v>26000</v>
      </c>
      <c r="U38" s="132">
        <f>S38-R38</f>
        <v>2000</v>
      </c>
      <c r="V38" s="132">
        <f>U38/Q38</f>
        <v>0.10256410256410256</v>
      </c>
      <c r="W38" s="132"/>
      <c r="X38" s="132"/>
      <c r="Y38" s="130">
        <v>28000</v>
      </c>
      <c r="Z38" s="130">
        <v>28000</v>
      </c>
      <c r="AA38" s="130">
        <v>28000</v>
      </c>
      <c r="AB38" s="132">
        <f t="shared" si="40"/>
        <v>2000</v>
      </c>
      <c r="AC38" s="132">
        <f>T38-S38</f>
        <v>1000</v>
      </c>
      <c r="AD38" s="131">
        <f t="shared" si="41"/>
        <v>7.6923076923076927E-2</v>
      </c>
      <c r="AE38" s="133">
        <f t="shared" si="42"/>
        <v>2000</v>
      </c>
      <c r="AF38" s="131">
        <f t="shared" si="43"/>
        <v>7.6923076923076927E-2</v>
      </c>
      <c r="AG38" s="133">
        <f t="shared" si="44"/>
        <v>2000</v>
      </c>
      <c r="AH38" s="131">
        <f t="shared" si="45"/>
        <v>7.6923076923076927E-2</v>
      </c>
      <c r="AI38" s="130">
        <v>30000</v>
      </c>
      <c r="AJ38" s="130">
        <v>30000</v>
      </c>
      <c r="AK38" s="130">
        <f t="shared" si="46"/>
        <v>2000</v>
      </c>
      <c r="AL38" s="134">
        <f>AK38/AA38</f>
        <v>7.1428571428571425E-2</v>
      </c>
      <c r="AM38" s="130">
        <f t="shared" si="47"/>
        <v>2000</v>
      </c>
      <c r="AN38" s="134">
        <f>AM38/AA38</f>
        <v>7.1428571428571425E-2</v>
      </c>
      <c r="AO38" s="108">
        <f>AJ38</f>
        <v>30000</v>
      </c>
      <c r="AP38" s="108">
        <f t="shared" si="48"/>
        <v>2000</v>
      </c>
      <c r="AQ38" s="131">
        <f>AP38/AA38</f>
        <v>7.1428571428571425E-2</v>
      </c>
      <c r="AR38" s="130">
        <v>30000</v>
      </c>
      <c r="AS38" s="132">
        <f t="shared" si="49"/>
        <v>2000</v>
      </c>
      <c r="AT38" s="131">
        <f>AS38/AA38</f>
        <v>7.1428571428571425E-2</v>
      </c>
      <c r="AU38" s="108">
        <v>30000</v>
      </c>
      <c r="AV38" s="108">
        <f t="shared" si="50"/>
        <v>30000</v>
      </c>
      <c r="AW38" s="108">
        <f t="shared" si="51"/>
        <v>0</v>
      </c>
      <c r="AX38" s="131">
        <f t="shared" si="52"/>
        <v>0</v>
      </c>
      <c r="AY38" s="108">
        <v>30000</v>
      </c>
      <c r="AZ38" s="108">
        <f t="shared" si="53"/>
        <v>0</v>
      </c>
      <c r="BA38" s="131">
        <f t="shared" si="54"/>
        <v>0</v>
      </c>
      <c r="BB38" s="112">
        <f t="shared" si="55"/>
        <v>0</v>
      </c>
      <c r="BC38" s="108">
        <v>30000</v>
      </c>
      <c r="BD38" s="108">
        <f t="shared" si="56"/>
        <v>0</v>
      </c>
      <c r="BE38" s="134">
        <f>BD38/AY38</f>
        <v>0</v>
      </c>
      <c r="BF38" s="108">
        <v>30000</v>
      </c>
      <c r="BG38" s="108">
        <v>33000</v>
      </c>
      <c r="BH38" s="108">
        <v>30000</v>
      </c>
      <c r="BI38" s="108">
        <v>35000</v>
      </c>
      <c r="BJ38" s="108">
        <v>35000</v>
      </c>
      <c r="BK38" s="108">
        <v>35000</v>
      </c>
      <c r="BL38" s="108">
        <v>35875</v>
      </c>
      <c r="BM38" s="108">
        <v>31000</v>
      </c>
      <c r="BN38" s="108">
        <v>35875</v>
      </c>
      <c r="BO38" s="108">
        <v>8000</v>
      </c>
      <c r="BP38" s="108">
        <f t="shared" si="57"/>
        <v>875</v>
      </c>
      <c r="BQ38" s="134">
        <f>BP38/BK38</f>
        <v>2.5000000000000001E-2</v>
      </c>
      <c r="BR38" s="111">
        <f t="shared" si="58"/>
        <v>-27875</v>
      </c>
      <c r="BS38" s="108">
        <v>32000</v>
      </c>
      <c r="BT38" s="108">
        <v>35000</v>
      </c>
      <c r="BU38" s="108">
        <v>35000</v>
      </c>
      <c r="BV38" s="108">
        <v>43000</v>
      </c>
      <c r="BW38" s="108">
        <v>35000</v>
      </c>
      <c r="BX38" s="108">
        <v>41350</v>
      </c>
      <c r="BY38" s="108">
        <f t="shared" si="59"/>
        <v>35000</v>
      </c>
      <c r="BZ38" s="108">
        <v>35000</v>
      </c>
      <c r="CA38" s="108">
        <v>46500</v>
      </c>
      <c r="CB38" s="108">
        <v>37000</v>
      </c>
      <c r="CC38" s="108">
        <f t="shared" si="60"/>
        <v>37000</v>
      </c>
      <c r="CD38" s="108">
        <f>43500+1250</f>
        <v>44750</v>
      </c>
      <c r="CE38" s="108">
        <f>CC38</f>
        <v>37000</v>
      </c>
      <c r="CF38" s="108">
        <v>43500</v>
      </c>
    </row>
    <row r="39" spans="1:84" ht="12.75" customHeight="1" x14ac:dyDescent="0.4">
      <c r="A39" s="124"/>
      <c r="B39" s="124">
        <f t="shared" si="61"/>
        <v>18</v>
      </c>
      <c r="C39" s="127" t="s">
        <v>284</v>
      </c>
      <c r="D39" s="106"/>
      <c r="E39" s="106"/>
      <c r="F39" s="128"/>
      <c r="G39" s="106"/>
      <c r="H39" s="106"/>
      <c r="I39" s="129"/>
      <c r="J39" s="130"/>
      <c r="K39" s="130"/>
      <c r="L39" s="130">
        <v>0</v>
      </c>
      <c r="M39" s="130"/>
      <c r="N39" s="129"/>
      <c r="O39" s="138"/>
      <c r="P39" s="167"/>
      <c r="Q39" s="130">
        <v>0</v>
      </c>
      <c r="R39" s="132">
        <v>0</v>
      </c>
      <c r="S39" s="132"/>
      <c r="T39" s="130">
        <v>664</v>
      </c>
      <c r="U39" s="132"/>
      <c r="V39" s="132"/>
      <c r="W39" s="132"/>
      <c r="X39" s="132"/>
      <c r="Y39" s="130">
        <v>0</v>
      </c>
      <c r="Z39" s="130">
        <v>0</v>
      </c>
      <c r="AA39" s="130">
        <v>0</v>
      </c>
      <c r="AB39" s="132">
        <f t="shared" si="40"/>
        <v>-664</v>
      </c>
      <c r="AC39" s="132"/>
      <c r="AD39" s="131">
        <f t="shared" si="41"/>
        <v>-1</v>
      </c>
      <c r="AE39" s="133">
        <f t="shared" si="42"/>
        <v>-664</v>
      </c>
      <c r="AF39" s="131">
        <f t="shared" si="43"/>
        <v>-1</v>
      </c>
      <c r="AG39" s="133">
        <f t="shared" si="44"/>
        <v>-664</v>
      </c>
      <c r="AH39" s="131">
        <f t="shared" si="45"/>
        <v>-1</v>
      </c>
      <c r="AI39" s="130">
        <v>2000</v>
      </c>
      <c r="AJ39" s="130">
        <v>1000</v>
      </c>
      <c r="AK39" s="130">
        <f t="shared" si="46"/>
        <v>2000</v>
      </c>
      <c r="AL39" s="134"/>
      <c r="AM39" s="130">
        <f t="shared" si="47"/>
        <v>1000</v>
      </c>
      <c r="AN39" s="134"/>
      <c r="AO39" s="108">
        <v>0</v>
      </c>
      <c r="AP39" s="108">
        <f t="shared" si="48"/>
        <v>0</v>
      </c>
      <c r="AQ39" s="131"/>
      <c r="AR39" s="130">
        <v>1000</v>
      </c>
      <c r="AS39" s="132">
        <f t="shared" si="49"/>
        <v>1000</v>
      </c>
      <c r="AT39" s="131"/>
      <c r="AU39" s="108">
        <v>0</v>
      </c>
      <c r="AV39" s="108">
        <f t="shared" si="50"/>
        <v>0</v>
      </c>
      <c r="AW39" s="108">
        <f t="shared" si="51"/>
        <v>0</v>
      </c>
      <c r="AX39" s="131" t="e">
        <f t="shared" si="52"/>
        <v>#DIV/0!</v>
      </c>
      <c r="AY39" s="108">
        <v>0</v>
      </c>
      <c r="AZ39" s="108">
        <f t="shared" si="53"/>
        <v>0</v>
      </c>
      <c r="BA39" s="131" t="e">
        <f t="shared" si="54"/>
        <v>#DIV/0!</v>
      </c>
      <c r="BB39" s="112">
        <f t="shared" si="55"/>
        <v>0</v>
      </c>
      <c r="BC39" s="108">
        <v>0</v>
      </c>
      <c r="BD39" s="108">
        <f t="shared" si="56"/>
        <v>0</v>
      </c>
      <c r="BE39" s="134"/>
      <c r="BF39" s="108">
        <f>BC39</f>
        <v>0</v>
      </c>
      <c r="BG39" s="108">
        <v>0</v>
      </c>
      <c r="BH39" s="108">
        <v>0</v>
      </c>
      <c r="BI39" s="108">
        <v>0</v>
      </c>
      <c r="BJ39" s="108">
        <v>0</v>
      </c>
      <c r="BK39" s="108">
        <v>0</v>
      </c>
      <c r="BL39" s="108">
        <v>0</v>
      </c>
      <c r="BM39" s="108">
        <v>0</v>
      </c>
      <c r="BN39" s="108">
        <v>0</v>
      </c>
      <c r="BO39" s="108">
        <v>0</v>
      </c>
      <c r="BP39" s="108">
        <f t="shared" si="57"/>
        <v>0</v>
      </c>
      <c r="BQ39" s="134"/>
      <c r="BR39" s="111">
        <f t="shared" si="58"/>
        <v>0</v>
      </c>
      <c r="BS39" s="108">
        <v>0</v>
      </c>
      <c r="BT39" s="108">
        <v>0</v>
      </c>
      <c r="BU39" s="108">
        <v>0</v>
      </c>
      <c r="BV39" s="108">
        <v>0</v>
      </c>
      <c r="BW39" s="108">
        <v>0</v>
      </c>
      <c r="BX39" s="108">
        <v>0</v>
      </c>
      <c r="BY39" s="108">
        <f t="shared" si="59"/>
        <v>0</v>
      </c>
      <c r="BZ39" s="108">
        <v>0</v>
      </c>
      <c r="CA39" s="108">
        <v>0</v>
      </c>
      <c r="CB39" s="108">
        <v>0</v>
      </c>
      <c r="CC39" s="108">
        <f t="shared" si="60"/>
        <v>0</v>
      </c>
      <c r="CD39" s="108">
        <v>0</v>
      </c>
      <c r="CE39" s="108">
        <f>CC39</f>
        <v>0</v>
      </c>
      <c r="CF39" s="108">
        <v>0</v>
      </c>
    </row>
    <row r="40" spans="1:84" ht="12.75" customHeight="1" x14ac:dyDescent="0.4">
      <c r="A40" s="124">
        <v>122</v>
      </c>
      <c r="B40" s="124">
        <f t="shared" si="61"/>
        <v>19</v>
      </c>
      <c r="C40" s="127" t="s">
        <v>285</v>
      </c>
      <c r="D40" s="106">
        <v>67786</v>
      </c>
      <c r="E40" s="106">
        <v>69804</v>
      </c>
      <c r="F40" s="128">
        <v>70598</v>
      </c>
      <c r="G40" s="106">
        <v>74212</v>
      </c>
      <c r="H40" s="106">
        <v>76029</v>
      </c>
      <c r="I40" s="129"/>
      <c r="J40" s="130">
        <v>78796</v>
      </c>
      <c r="K40" s="130">
        <v>91917</v>
      </c>
      <c r="L40" s="130">
        <v>81610</v>
      </c>
      <c r="M40" s="130">
        <v>89717</v>
      </c>
      <c r="N40" s="129">
        <f t="shared" ref="N40:N58" si="62">M40-L40</f>
        <v>8107</v>
      </c>
      <c r="O40" s="138">
        <f t="shared" ref="O40:O58" si="63">N40/L40</f>
        <v>9.9338316382796221E-2</v>
      </c>
      <c r="P40" s="167" t="s">
        <v>286</v>
      </c>
      <c r="Q40" s="130">
        <v>88849.61</v>
      </c>
      <c r="R40" s="132">
        <v>89751.85</v>
      </c>
      <c r="S40" s="132">
        <v>89717</v>
      </c>
      <c r="T40" s="130">
        <v>106710</v>
      </c>
      <c r="U40" s="132">
        <f t="shared" ref="U40:U58" si="64">S40-R40</f>
        <v>-34.850000000005821</v>
      </c>
      <c r="V40" s="132">
        <f t="shared" ref="V40:V58" si="65">U40/Q40</f>
        <v>-3.9223582410779091E-4</v>
      </c>
      <c r="W40" s="132"/>
      <c r="X40" s="132"/>
      <c r="Y40" s="130">
        <v>116850</v>
      </c>
      <c r="Z40" s="130">
        <v>116050</v>
      </c>
      <c r="AA40" s="130">
        <v>104521</v>
      </c>
      <c r="AB40" s="132">
        <f t="shared" si="40"/>
        <v>10140</v>
      </c>
      <c r="AC40" s="132">
        <f t="shared" ref="AC40:AC58" si="66">T40-S40</f>
        <v>16993</v>
      </c>
      <c r="AD40" s="131">
        <f t="shared" si="41"/>
        <v>9.5023896542029807E-2</v>
      </c>
      <c r="AE40" s="133">
        <f t="shared" si="42"/>
        <v>9340</v>
      </c>
      <c r="AF40" s="131">
        <f t="shared" si="43"/>
        <v>8.7526942179739484E-2</v>
      </c>
      <c r="AG40" s="133">
        <f t="shared" si="44"/>
        <v>-2189</v>
      </c>
      <c r="AH40" s="131">
        <f t="shared" si="45"/>
        <v>-2.0513541373816887E-2</v>
      </c>
      <c r="AI40" s="130">
        <v>116810</v>
      </c>
      <c r="AJ40" s="130">
        <v>116810</v>
      </c>
      <c r="AK40" s="130">
        <f t="shared" si="46"/>
        <v>12289</v>
      </c>
      <c r="AL40" s="134">
        <f t="shared" ref="AL40:AL58" si="67">AK40/AA40</f>
        <v>0.11757445872121391</v>
      </c>
      <c r="AM40" s="130">
        <f t="shared" si="47"/>
        <v>12289</v>
      </c>
      <c r="AN40" s="134">
        <f t="shared" ref="AN40:AN58" si="68">AM40/AA40</f>
        <v>0.11757445872121391</v>
      </c>
      <c r="AO40" s="108">
        <v>114305</v>
      </c>
      <c r="AP40" s="108">
        <f t="shared" si="48"/>
        <v>9784</v>
      </c>
      <c r="AQ40" s="131">
        <f t="shared" ref="AQ40:AQ58" si="69">AP40/AA40</f>
        <v>9.3607983084738958E-2</v>
      </c>
      <c r="AR40" s="130">
        <v>116810</v>
      </c>
      <c r="AS40" s="132">
        <f t="shared" si="49"/>
        <v>12289</v>
      </c>
      <c r="AT40" s="131">
        <f t="shared" ref="AT40:AT58" si="70">AS40/AA40</f>
        <v>0.11757445872121391</v>
      </c>
      <c r="AU40" s="108">
        <v>124332</v>
      </c>
      <c r="AV40" s="108">
        <f t="shared" si="50"/>
        <v>123331</v>
      </c>
      <c r="AW40" s="108">
        <f t="shared" si="51"/>
        <v>9026</v>
      </c>
      <c r="AX40" s="131">
        <f t="shared" si="52"/>
        <v>7.8964174795503259E-2</v>
      </c>
      <c r="AY40" s="108">
        <v>123331</v>
      </c>
      <c r="AZ40" s="108">
        <f t="shared" si="53"/>
        <v>9026</v>
      </c>
      <c r="BA40" s="131">
        <f t="shared" si="54"/>
        <v>7.8964174795503259E-2</v>
      </c>
      <c r="BB40" s="112">
        <f t="shared" si="55"/>
        <v>0</v>
      </c>
      <c r="BC40" s="108">
        <v>122143</v>
      </c>
      <c r="BD40" s="108">
        <f t="shared" si="56"/>
        <v>-1188</v>
      </c>
      <c r="BE40" s="134">
        <f t="shared" ref="BE40:BE45" si="71">BD40/AY40</f>
        <v>-9.6326146710883718E-3</v>
      </c>
      <c r="BF40" s="108">
        <v>123305</v>
      </c>
      <c r="BG40" s="108">
        <v>124617</v>
      </c>
      <c r="BH40" s="108">
        <v>105885</v>
      </c>
      <c r="BI40" s="108">
        <v>111497</v>
      </c>
      <c r="BJ40" s="108">
        <v>111497</v>
      </c>
      <c r="BK40" s="108">
        <v>111497</v>
      </c>
      <c r="BL40" s="108">
        <v>112073</v>
      </c>
      <c r="BM40" s="108">
        <v>120095.64</v>
      </c>
      <c r="BN40" s="108">
        <v>44392</v>
      </c>
      <c r="BO40" s="108">
        <v>50752</v>
      </c>
      <c r="BP40" s="108">
        <f t="shared" si="57"/>
        <v>-67105</v>
      </c>
      <c r="BQ40" s="134">
        <f t="shared" ref="BQ40:BQ47" si="72">BP40/BK40</f>
        <v>-0.6018547584239935</v>
      </c>
      <c r="BR40" s="111">
        <f t="shared" si="58"/>
        <v>6360</v>
      </c>
      <c r="BS40" s="108">
        <v>44117.75</v>
      </c>
      <c r="BT40" s="108">
        <f>48584-500</f>
        <v>48084</v>
      </c>
      <c r="BU40" s="108">
        <v>44648.22</v>
      </c>
      <c r="BV40" s="108">
        <v>63123</v>
      </c>
      <c r="BW40" s="108">
        <f>46912-500</f>
        <v>46412</v>
      </c>
      <c r="BX40" s="108">
        <f>41570.57-500</f>
        <v>41070.57</v>
      </c>
      <c r="BY40" s="108">
        <f t="shared" si="59"/>
        <v>46412</v>
      </c>
      <c r="BZ40" s="108">
        <v>45662.48</v>
      </c>
      <c r="CA40" s="108">
        <v>47686.95</v>
      </c>
      <c r="CB40" s="108">
        <f>52672.36-500</f>
        <v>52172.36</v>
      </c>
      <c r="CC40" s="108">
        <f t="shared" si="60"/>
        <v>52172.36</v>
      </c>
      <c r="CD40" s="108">
        <f>50177.12-500</f>
        <v>49677.120000000003</v>
      </c>
      <c r="CE40" s="108">
        <v>52672.36</v>
      </c>
      <c r="CF40" s="108">
        <v>56302.36</v>
      </c>
    </row>
    <row r="41" spans="1:84" ht="12.75" customHeight="1" x14ac:dyDescent="0.4">
      <c r="A41" s="154">
        <v>122.1</v>
      </c>
      <c r="B41" s="124">
        <f t="shared" si="61"/>
        <v>20</v>
      </c>
      <c r="C41" s="127" t="s">
        <v>287</v>
      </c>
      <c r="D41" s="106">
        <v>3000</v>
      </c>
      <c r="E41" s="106">
        <v>3000</v>
      </c>
      <c r="F41" s="128">
        <v>3000</v>
      </c>
      <c r="G41" s="106">
        <v>4573</v>
      </c>
      <c r="H41" s="106">
        <v>5000</v>
      </c>
      <c r="I41" s="129"/>
      <c r="J41" s="130">
        <v>5000</v>
      </c>
      <c r="K41" s="130">
        <f>J41</f>
        <v>5000</v>
      </c>
      <c r="L41" s="130">
        <v>4284</v>
      </c>
      <c r="M41" s="130">
        <v>4500</v>
      </c>
      <c r="N41" s="129">
        <f t="shared" si="62"/>
        <v>216</v>
      </c>
      <c r="O41" s="138">
        <f t="shared" si="63"/>
        <v>5.0420168067226892E-2</v>
      </c>
      <c r="Q41" s="130">
        <v>4270.7</v>
      </c>
      <c r="R41" s="132">
        <v>4224.1000000000004</v>
      </c>
      <c r="S41" s="132">
        <v>4500</v>
      </c>
      <c r="T41" s="130">
        <v>500</v>
      </c>
      <c r="U41" s="132">
        <f t="shared" si="64"/>
        <v>275.89999999999964</v>
      </c>
      <c r="V41" s="132">
        <f t="shared" si="65"/>
        <v>6.4602992483667701E-2</v>
      </c>
      <c r="W41" s="132"/>
      <c r="X41" s="132"/>
      <c r="Y41" s="130">
        <v>4500</v>
      </c>
      <c r="Z41" s="130">
        <v>4500</v>
      </c>
      <c r="AA41" s="130">
        <v>383</v>
      </c>
      <c r="AB41" s="132">
        <f t="shared" si="40"/>
        <v>4000</v>
      </c>
      <c r="AC41" s="132">
        <f t="shared" si="66"/>
        <v>-4000</v>
      </c>
      <c r="AD41" s="131">
        <f t="shared" si="41"/>
        <v>8</v>
      </c>
      <c r="AE41" s="133">
        <f t="shared" si="42"/>
        <v>4000</v>
      </c>
      <c r="AF41" s="131">
        <f t="shared" si="43"/>
        <v>8</v>
      </c>
      <c r="AG41" s="133">
        <f t="shared" si="44"/>
        <v>-117</v>
      </c>
      <c r="AH41" s="131">
        <f t="shared" si="45"/>
        <v>-0.23400000000000001</v>
      </c>
      <c r="AI41" s="130">
        <v>500</v>
      </c>
      <c r="AJ41" s="130">
        <v>500</v>
      </c>
      <c r="AK41" s="130">
        <f t="shared" si="46"/>
        <v>117</v>
      </c>
      <c r="AL41" s="134">
        <f t="shared" si="67"/>
        <v>0.30548302872062666</v>
      </c>
      <c r="AM41" s="130">
        <f t="shared" si="47"/>
        <v>117</v>
      </c>
      <c r="AN41" s="134">
        <f t="shared" si="68"/>
        <v>0.30548302872062666</v>
      </c>
      <c r="AO41" s="108">
        <f>AJ41</f>
        <v>500</v>
      </c>
      <c r="AP41" s="108">
        <f t="shared" si="48"/>
        <v>117</v>
      </c>
      <c r="AQ41" s="131">
        <f t="shared" si="69"/>
        <v>0.30548302872062666</v>
      </c>
      <c r="AR41" s="130">
        <v>500</v>
      </c>
      <c r="AS41" s="132">
        <f t="shared" si="49"/>
        <v>117</v>
      </c>
      <c r="AT41" s="131">
        <f t="shared" si="70"/>
        <v>0.30548302872062666</v>
      </c>
      <c r="AU41" s="108">
        <v>500</v>
      </c>
      <c r="AV41" s="108">
        <f t="shared" si="50"/>
        <v>500</v>
      </c>
      <c r="AW41" s="108">
        <f t="shared" si="51"/>
        <v>0</v>
      </c>
      <c r="AX41" s="131">
        <f t="shared" si="52"/>
        <v>0</v>
      </c>
      <c r="AY41" s="108">
        <v>500</v>
      </c>
      <c r="AZ41" s="108">
        <f t="shared" si="53"/>
        <v>0</v>
      </c>
      <c r="BA41" s="131">
        <f t="shared" si="54"/>
        <v>0</v>
      </c>
      <c r="BB41" s="112">
        <f t="shared" si="55"/>
        <v>0</v>
      </c>
      <c r="BC41" s="108">
        <v>500</v>
      </c>
      <c r="BD41" s="108">
        <f t="shared" si="56"/>
        <v>0</v>
      </c>
      <c r="BE41" s="134">
        <f t="shared" si="71"/>
        <v>0</v>
      </c>
      <c r="BF41" s="108">
        <f>BC41</f>
        <v>500</v>
      </c>
      <c r="BG41" s="108">
        <v>500</v>
      </c>
      <c r="BH41" s="108">
        <v>500</v>
      </c>
      <c r="BI41" s="108">
        <v>500</v>
      </c>
      <c r="BJ41" s="108">
        <v>500</v>
      </c>
      <c r="BK41" s="108">
        <v>500</v>
      </c>
      <c r="BL41" s="108">
        <v>500</v>
      </c>
      <c r="BM41" s="108">
        <v>500</v>
      </c>
      <c r="BN41" s="108">
        <v>500</v>
      </c>
      <c r="BO41" s="108">
        <v>0</v>
      </c>
      <c r="BP41" s="108">
        <f t="shared" si="57"/>
        <v>0</v>
      </c>
      <c r="BQ41" s="134">
        <f t="shared" si="72"/>
        <v>0</v>
      </c>
      <c r="BR41" s="111">
        <f t="shared" si="58"/>
        <v>-500</v>
      </c>
      <c r="BS41" s="108">
        <v>500</v>
      </c>
      <c r="BT41" s="108">
        <v>500</v>
      </c>
      <c r="BU41" s="108">
        <v>500</v>
      </c>
      <c r="BV41" s="108">
        <v>500</v>
      </c>
      <c r="BW41" s="108">
        <v>500</v>
      </c>
      <c r="BX41" s="108">
        <v>500</v>
      </c>
      <c r="BY41" s="108">
        <f t="shared" si="59"/>
        <v>500</v>
      </c>
      <c r="BZ41" s="108">
        <v>500</v>
      </c>
      <c r="CA41" s="108">
        <v>500</v>
      </c>
      <c r="CB41" s="108">
        <v>500</v>
      </c>
      <c r="CC41" s="108">
        <f t="shared" si="60"/>
        <v>500</v>
      </c>
      <c r="CD41" s="108">
        <v>500</v>
      </c>
      <c r="CE41" s="108">
        <f>CC41</f>
        <v>500</v>
      </c>
      <c r="CF41" s="108">
        <v>0</v>
      </c>
    </row>
    <row r="42" spans="1:84" ht="12.75" customHeight="1" x14ac:dyDescent="0.4">
      <c r="A42" s="124">
        <v>126</v>
      </c>
      <c r="B42" s="124">
        <f t="shared" si="61"/>
        <v>21</v>
      </c>
      <c r="C42" s="127" t="s">
        <v>288</v>
      </c>
      <c r="D42" s="106">
        <v>0</v>
      </c>
      <c r="E42" s="106">
        <v>0</v>
      </c>
      <c r="F42" s="128">
        <v>0</v>
      </c>
      <c r="G42" s="106">
        <v>18962</v>
      </c>
      <c r="H42" s="106">
        <v>72000</v>
      </c>
      <c r="I42" s="129"/>
      <c r="J42" s="130">
        <v>74000</v>
      </c>
      <c r="K42" s="130">
        <f>J42</f>
        <v>74000</v>
      </c>
      <c r="L42" s="130">
        <v>50726</v>
      </c>
      <c r="M42" s="130">
        <v>75000</v>
      </c>
      <c r="N42" s="129">
        <f t="shared" si="62"/>
        <v>24274</v>
      </c>
      <c r="O42" s="138">
        <f t="shared" si="63"/>
        <v>0.47853171943382095</v>
      </c>
      <c r="Q42" s="130">
        <v>35402.120000000003</v>
      </c>
      <c r="R42" s="132">
        <v>26152.25</v>
      </c>
      <c r="S42" s="132">
        <v>100000</v>
      </c>
      <c r="T42" s="130">
        <v>85000</v>
      </c>
      <c r="U42" s="132">
        <f t="shared" si="64"/>
        <v>73847.75</v>
      </c>
      <c r="V42" s="132">
        <f t="shared" si="65"/>
        <v>2.0859697102885364</v>
      </c>
      <c r="W42" s="132"/>
      <c r="X42" s="132"/>
      <c r="Y42" s="130">
        <v>100000</v>
      </c>
      <c r="Z42" s="130">
        <v>100000</v>
      </c>
      <c r="AA42" s="130">
        <v>85000</v>
      </c>
      <c r="AB42" s="132">
        <f t="shared" si="40"/>
        <v>15000</v>
      </c>
      <c r="AC42" s="132">
        <f t="shared" si="66"/>
        <v>-15000</v>
      </c>
      <c r="AD42" s="131">
        <f t="shared" si="41"/>
        <v>0.17647058823529413</v>
      </c>
      <c r="AE42" s="133">
        <f t="shared" si="42"/>
        <v>15000</v>
      </c>
      <c r="AF42" s="131">
        <f t="shared" si="43"/>
        <v>0.17647058823529413</v>
      </c>
      <c r="AG42" s="133">
        <f t="shared" si="44"/>
        <v>0</v>
      </c>
      <c r="AH42" s="131">
        <f t="shared" si="45"/>
        <v>0</v>
      </c>
      <c r="AI42" s="130">
        <v>85000</v>
      </c>
      <c r="AJ42" s="130">
        <v>85000</v>
      </c>
      <c r="AK42" s="130">
        <f t="shared" si="46"/>
        <v>0</v>
      </c>
      <c r="AL42" s="134">
        <f t="shared" si="67"/>
        <v>0</v>
      </c>
      <c r="AM42" s="130">
        <f t="shared" si="47"/>
        <v>0</v>
      </c>
      <c r="AN42" s="134">
        <f t="shared" si="68"/>
        <v>0</v>
      </c>
      <c r="AO42" s="108">
        <v>115228</v>
      </c>
      <c r="AP42" s="108">
        <f t="shared" si="48"/>
        <v>30228</v>
      </c>
      <c r="AQ42" s="131">
        <f t="shared" si="69"/>
        <v>0.35562352941176473</v>
      </c>
      <c r="AR42" s="130">
        <v>85000</v>
      </c>
      <c r="AS42" s="132">
        <f t="shared" si="49"/>
        <v>0</v>
      </c>
      <c r="AT42" s="131">
        <f t="shared" si="70"/>
        <v>0</v>
      </c>
      <c r="AU42" s="108">
        <v>115000</v>
      </c>
      <c r="AV42" s="108">
        <f t="shared" si="50"/>
        <v>113248</v>
      </c>
      <c r="AW42" s="108">
        <f t="shared" si="51"/>
        <v>-1980</v>
      </c>
      <c r="AX42" s="131">
        <f t="shared" si="52"/>
        <v>-1.7183323497760961E-2</v>
      </c>
      <c r="AY42" s="108">
        <v>113248</v>
      </c>
      <c r="AZ42" s="108">
        <f t="shared" si="53"/>
        <v>-1980</v>
      </c>
      <c r="BA42" s="131">
        <f t="shared" si="54"/>
        <v>-1.7183323497760961E-2</v>
      </c>
      <c r="BB42" s="112">
        <f t="shared" si="55"/>
        <v>0</v>
      </c>
      <c r="BC42" s="108">
        <v>115000</v>
      </c>
      <c r="BD42" s="108">
        <f t="shared" si="56"/>
        <v>1752</v>
      </c>
      <c r="BE42" s="134">
        <f t="shared" si="71"/>
        <v>1.5470471884713196E-2</v>
      </c>
      <c r="BF42" s="108">
        <v>113231</v>
      </c>
      <c r="BG42" s="108">
        <v>115000</v>
      </c>
      <c r="BH42" s="108">
        <v>116339</v>
      </c>
      <c r="BI42" s="108">
        <v>117300</v>
      </c>
      <c r="BJ42" s="108">
        <v>117300</v>
      </c>
      <c r="BK42" s="108">
        <v>117300</v>
      </c>
      <c r="BL42" s="108">
        <v>120641</v>
      </c>
      <c r="BM42" s="108">
        <v>118400.29</v>
      </c>
      <c r="BN42" s="108">
        <v>120641</v>
      </c>
      <c r="BO42" s="108">
        <v>0</v>
      </c>
      <c r="BP42" s="108">
        <f t="shared" si="57"/>
        <v>3341</v>
      </c>
      <c r="BQ42" s="134">
        <f t="shared" si="72"/>
        <v>2.8482523444160274E-2</v>
      </c>
      <c r="BR42" s="111">
        <f t="shared" si="58"/>
        <v>-120641</v>
      </c>
      <c r="BS42" s="108">
        <v>120640.23</v>
      </c>
      <c r="BT42" s="108">
        <v>122039</v>
      </c>
      <c r="BU42" s="108">
        <v>128602.97</v>
      </c>
      <c r="BV42" s="108">
        <v>125000</v>
      </c>
      <c r="BW42" s="108">
        <v>127500</v>
      </c>
      <c r="BX42" s="108">
        <v>127700.79</v>
      </c>
      <c r="BY42" s="108">
        <f t="shared" si="59"/>
        <v>127500</v>
      </c>
      <c r="BZ42" s="108">
        <f>125199.24+2500+3125</f>
        <v>130824.24</v>
      </c>
      <c r="CA42" s="108">
        <v>127500</v>
      </c>
      <c r="CB42" s="108">
        <v>123000</v>
      </c>
      <c r="CC42" s="108">
        <f t="shared" si="60"/>
        <v>123000</v>
      </c>
      <c r="CD42" s="108">
        <f>117900.78+330</f>
        <v>118230.78</v>
      </c>
      <c r="CE42" s="108">
        <f>CC42</f>
        <v>123000</v>
      </c>
      <c r="CF42" s="108">
        <v>127320</v>
      </c>
    </row>
    <row r="43" spans="1:84" ht="12.75" customHeight="1" x14ac:dyDescent="0.4">
      <c r="A43" s="124">
        <v>126</v>
      </c>
      <c r="B43" s="124">
        <f t="shared" si="61"/>
        <v>22</v>
      </c>
      <c r="C43" s="127" t="s">
        <v>289</v>
      </c>
      <c r="D43" s="106">
        <v>0</v>
      </c>
      <c r="E43" s="106">
        <v>0</v>
      </c>
      <c r="F43" s="128">
        <v>0</v>
      </c>
      <c r="G43" s="106">
        <v>4207</v>
      </c>
      <c r="H43" s="106">
        <v>6136</v>
      </c>
      <c r="I43" s="129"/>
      <c r="J43" s="130">
        <v>6106</v>
      </c>
      <c r="K43" s="130">
        <f>J43</f>
        <v>6106</v>
      </c>
      <c r="L43" s="130">
        <v>4432</v>
      </c>
      <c r="M43" s="130">
        <v>5615</v>
      </c>
      <c r="N43" s="129">
        <f t="shared" si="62"/>
        <v>1183</v>
      </c>
      <c r="O43" s="138">
        <f t="shared" si="63"/>
        <v>0.26692238267148016</v>
      </c>
      <c r="Q43" s="130">
        <v>14640.24</v>
      </c>
      <c r="R43" s="132">
        <v>38224.050000000003</v>
      </c>
      <c r="S43" s="132">
        <v>5615</v>
      </c>
      <c r="T43" s="130">
        <v>9774</v>
      </c>
      <c r="U43" s="132">
        <f t="shared" si="64"/>
        <v>-32609.050000000003</v>
      </c>
      <c r="V43" s="132">
        <f t="shared" si="65"/>
        <v>-2.2273576116238534</v>
      </c>
      <c r="W43" s="132"/>
      <c r="X43" s="132"/>
      <c r="Y43" s="130">
        <v>19800</v>
      </c>
      <c r="Z43" s="130">
        <v>19800</v>
      </c>
      <c r="AA43" s="130">
        <v>7945</v>
      </c>
      <c r="AB43" s="132">
        <f t="shared" si="40"/>
        <v>10026</v>
      </c>
      <c r="AC43" s="132">
        <f t="shared" si="66"/>
        <v>4159</v>
      </c>
      <c r="AD43" s="131">
        <f t="shared" si="41"/>
        <v>1.0257826887661141</v>
      </c>
      <c r="AE43" s="133">
        <f t="shared" si="42"/>
        <v>10026</v>
      </c>
      <c r="AF43" s="131">
        <f t="shared" si="43"/>
        <v>1.0257826887661141</v>
      </c>
      <c r="AG43" s="133">
        <f t="shared" si="44"/>
        <v>-1829</v>
      </c>
      <c r="AH43" s="131">
        <f t="shared" si="45"/>
        <v>-0.18712911806834459</v>
      </c>
      <c r="AI43" s="130">
        <v>24800</v>
      </c>
      <c r="AJ43" s="130">
        <v>24800</v>
      </c>
      <c r="AK43" s="130">
        <f t="shared" si="46"/>
        <v>16855</v>
      </c>
      <c r="AL43" s="134">
        <f t="shared" si="67"/>
        <v>2.1214600377595971</v>
      </c>
      <c r="AM43" s="130">
        <f t="shared" si="47"/>
        <v>16855</v>
      </c>
      <c r="AN43" s="134">
        <f t="shared" si="68"/>
        <v>2.1214600377595971</v>
      </c>
      <c r="AO43" s="108">
        <v>8205</v>
      </c>
      <c r="AP43" s="108">
        <f t="shared" si="48"/>
        <v>260</v>
      </c>
      <c r="AQ43" s="131">
        <f t="shared" si="69"/>
        <v>3.2724984266834484E-2</v>
      </c>
      <c r="AR43" s="130">
        <v>24800</v>
      </c>
      <c r="AS43" s="132">
        <f t="shared" si="49"/>
        <v>16855</v>
      </c>
      <c r="AT43" s="131">
        <f t="shared" si="70"/>
        <v>2.1214600377595971</v>
      </c>
      <c r="AU43" s="108">
        <v>5600</v>
      </c>
      <c r="AV43" s="108">
        <f t="shared" si="50"/>
        <v>4681</v>
      </c>
      <c r="AW43" s="108">
        <f t="shared" si="51"/>
        <v>-3524</v>
      </c>
      <c r="AX43" s="131">
        <f t="shared" si="52"/>
        <v>-0.42949421084704448</v>
      </c>
      <c r="AY43" s="108">
        <v>4681</v>
      </c>
      <c r="AZ43" s="108">
        <f t="shared" si="53"/>
        <v>-3524</v>
      </c>
      <c r="BA43" s="131">
        <f t="shared" si="54"/>
        <v>-0.42949421084704448</v>
      </c>
      <c r="BB43" s="112">
        <f t="shared" si="55"/>
        <v>0</v>
      </c>
      <c r="BC43" s="108">
        <v>5600</v>
      </c>
      <c r="BD43" s="108">
        <f t="shared" si="56"/>
        <v>919</v>
      </c>
      <c r="BE43" s="134">
        <f t="shared" si="71"/>
        <v>0.19632557145908994</v>
      </c>
      <c r="BF43" s="108">
        <v>2668</v>
      </c>
      <c r="BG43" s="108">
        <v>3450</v>
      </c>
      <c r="BH43" s="108">
        <v>3384</v>
      </c>
      <c r="BI43" s="108">
        <v>5250</v>
      </c>
      <c r="BJ43" s="108">
        <v>5250</v>
      </c>
      <c r="BK43" s="108">
        <v>5250</v>
      </c>
      <c r="BL43" s="108">
        <v>5250</v>
      </c>
      <c r="BM43" s="108">
        <v>4932.5</v>
      </c>
      <c r="BN43" s="108">
        <v>5250</v>
      </c>
      <c r="BO43" s="108">
        <v>0</v>
      </c>
      <c r="BP43" s="108">
        <f t="shared" si="57"/>
        <v>0</v>
      </c>
      <c r="BQ43" s="134">
        <f t="shared" si="72"/>
        <v>0</v>
      </c>
      <c r="BR43" s="111">
        <f t="shared" si="58"/>
        <v>-5250</v>
      </c>
      <c r="BS43" s="108">
        <v>6806.76</v>
      </c>
      <c r="BT43" s="108">
        <v>5000</v>
      </c>
      <c r="BU43" s="108">
        <v>5704.71</v>
      </c>
      <c r="BV43" s="108">
        <v>5250</v>
      </c>
      <c r="BW43" s="108">
        <v>5350</v>
      </c>
      <c r="BX43" s="108">
        <f>135731.77-127700.79</f>
        <v>8030.9799999999959</v>
      </c>
      <c r="BY43" s="108">
        <f t="shared" si="59"/>
        <v>5350</v>
      </c>
      <c r="BZ43" s="108">
        <v>5348.71</v>
      </c>
      <c r="CA43" s="108">
        <v>5447.11</v>
      </c>
      <c r="CB43" s="108">
        <v>5500</v>
      </c>
      <c r="CC43" s="108">
        <f t="shared" si="60"/>
        <v>5500</v>
      </c>
      <c r="CD43" s="108">
        <f>121720.09-330-117900.78</f>
        <v>3489.3099999999977</v>
      </c>
      <c r="CE43" s="108">
        <f>CC43</f>
        <v>5500</v>
      </c>
      <c r="CF43" s="108">
        <v>5500</v>
      </c>
    </row>
    <row r="44" spans="1:84" ht="12.75" customHeight="1" x14ac:dyDescent="0.4">
      <c r="A44" s="124">
        <v>135</v>
      </c>
      <c r="B44" s="124">
        <f t="shared" si="61"/>
        <v>23</v>
      </c>
      <c r="C44" s="127" t="s">
        <v>290</v>
      </c>
      <c r="D44" s="106">
        <v>42664</v>
      </c>
      <c r="E44" s="106">
        <v>49656</v>
      </c>
      <c r="F44" s="128">
        <v>51690</v>
      </c>
      <c r="G44" s="106">
        <v>53781</v>
      </c>
      <c r="H44" s="106">
        <v>55003</v>
      </c>
      <c r="I44" s="129"/>
      <c r="J44" s="130">
        <v>82509</v>
      </c>
      <c r="K44" s="130">
        <v>85407</v>
      </c>
      <c r="L44" s="130">
        <v>89771</v>
      </c>
      <c r="M44" s="130">
        <v>107034</v>
      </c>
      <c r="N44" s="129">
        <f t="shared" si="62"/>
        <v>17263</v>
      </c>
      <c r="O44" s="138">
        <f t="shared" si="63"/>
        <v>0.19230040881799246</v>
      </c>
      <c r="P44" s="167" t="s">
        <v>291</v>
      </c>
      <c r="Q44" s="130">
        <v>110366.07</v>
      </c>
      <c r="R44" s="132">
        <v>116166.09</v>
      </c>
      <c r="S44" s="132">
        <v>108919</v>
      </c>
      <c r="T44" s="130">
        <v>121779</v>
      </c>
      <c r="U44" s="132">
        <f t="shared" si="64"/>
        <v>-7247.0899999999965</v>
      </c>
      <c r="V44" s="132">
        <f t="shared" si="65"/>
        <v>-6.5664112167806613E-2</v>
      </c>
      <c r="W44" s="132"/>
      <c r="X44" s="132"/>
      <c r="Y44" s="130">
        <v>126242</v>
      </c>
      <c r="Z44" s="130">
        <v>118869</v>
      </c>
      <c r="AA44" s="130">
        <v>131928</v>
      </c>
      <c r="AB44" s="132">
        <f t="shared" si="40"/>
        <v>4463</v>
      </c>
      <c r="AC44" s="132">
        <f t="shared" si="66"/>
        <v>12860</v>
      </c>
      <c r="AD44" s="131">
        <f t="shared" si="41"/>
        <v>3.6648354806657964E-2</v>
      </c>
      <c r="AE44" s="133">
        <f t="shared" si="42"/>
        <v>-2910</v>
      </c>
      <c r="AF44" s="131">
        <f t="shared" si="43"/>
        <v>-2.3895745571896634E-2</v>
      </c>
      <c r="AG44" s="133">
        <f t="shared" si="44"/>
        <v>10149</v>
      </c>
      <c r="AH44" s="131">
        <f t="shared" si="45"/>
        <v>8.3339492030645682E-2</v>
      </c>
      <c r="AI44" s="130">
        <v>150912</v>
      </c>
      <c r="AJ44" s="130">
        <v>147070</v>
      </c>
      <c r="AK44" s="130">
        <f t="shared" si="46"/>
        <v>18984</v>
      </c>
      <c r="AL44" s="134">
        <f t="shared" si="67"/>
        <v>0.14389667091140623</v>
      </c>
      <c r="AM44" s="130">
        <f t="shared" si="47"/>
        <v>15142</v>
      </c>
      <c r="AN44" s="134">
        <f t="shared" si="68"/>
        <v>0.11477472560790734</v>
      </c>
      <c r="AO44" s="108">
        <v>142925</v>
      </c>
      <c r="AP44" s="108">
        <f t="shared" si="48"/>
        <v>10997</v>
      </c>
      <c r="AQ44" s="131">
        <f t="shared" si="69"/>
        <v>8.3356073009520346E-2</v>
      </c>
      <c r="AR44" s="130">
        <v>150150</v>
      </c>
      <c r="AS44" s="132">
        <f t="shared" si="49"/>
        <v>18222</v>
      </c>
      <c r="AT44" s="131">
        <f t="shared" si="70"/>
        <v>0.13812079315990541</v>
      </c>
      <c r="AU44" s="108">
        <v>145218</v>
      </c>
      <c r="AV44" s="108">
        <f t="shared" si="50"/>
        <v>147952</v>
      </c>
      <c r="AW44" s="108">
        <f t="shared" si="51"/>
        <v>5027</v>
      </c>
      <c r="AX44" s="131">
        <f t="shared" si="52"/>
        <v>3.5172293160748644E-2</v>
      </c>
      <c r="AY44" s="108">
        <v>147952</v>
      </c>
      <c r="AZ44" s="108">
        <f t="shared" si="53"/>
        <v>5027</v>
      </c>
      <c r="BA44" s="131">
        <f t="shared" si="54"/>
        <v>3.5172293160748644E-2</v>
      </c>
      <c r="BB44" s="112">
        <f t="shared" si="55"/>
        <v>0</v>
      </c>
      <c r="BC44" s="108">
        <v>148939</v>
      </c>
      <c r="BD44" s="108">
        <f t="shared" si="56"/>
        <v>987</v>
      </c>
      <c r="BE44" s="134">
        <f t="shared" si="71"/>
        <v>6.67108251324754E-3</v>
      </c>
      <c r="BF44" s="108">
        <v>149924</v>
      </c>
      <c r="BG44" s="108">
        <v>151940</v>
      </c>
      <c r="BH44" s="108">
        <v>135902</v>
      </c>
      <c r="BI44" s="108">
        <v>145601</v>
      </c>
      <c r="BJ44" s="108">
        <v>145601</v>
      </c>
      <c r="BK44" s="108">
        <v>145601</v>
      </c>
      <c r="BL44" s="108">
        <v>144048</v>
      </c>
      <c r="BM44" s="108">
        <v>117867.81</v>
      </c>
      <c r="BN44" s="108">
        <v>144048</v>
      </c>
      <c r="BO44" s="108">
        <v>0</v>
      </c>
      <c r="BP44" s="108">
        <f t="shared" si="57"/>
        <v>-1553</v>
      </c>
      <c r="BQ44" s="134">
        <f t="shared" si="72"/>
        <v>-1.0666135534783416E-2</v>
      </c>
      <c r="BR44" s="111">
        <f t="shared" si="58"/>
        <v>-144048</v>
      </c>
      <c r="BS44" s="108">
        <f>138734.18+637.5</f>
        <v>139371.68</v>
      </c>
      <c r="BT44" s="108">
        <v>143969</v>
      </c>
      <c r="BU44" s="108">
        <v>143646.73000000001</v>
      </c>
      <c r="BV44" s="108">
        <v>146768</v>
      </c>
      <c r="BW44" s="108">
        <v>169137</v>
      </c>
      <c r="BX44" s="108">
        <v>154189.39000000001</v>
      </c>
      <c r="BY44" s="108">
        <f t="shared" si="59"/>
        <v>169137</v>
      </c>
      <c r="BZ44" s="108">
        <f>175382.84+660</f>
        <v>176042.84</v>
      </c>
      <c r="CA44" s="108">
        <v>173885.7</v>
      </c>
      <c r="CB44" s="108">
        <v>179588.34</v>
      </c>
      <c r="CC44" s="108">
        <f t="shared" si="60"/>
        <v>179588.34</v>
      </c>
      <c r="CD44" s="108">
        <f>182218.14+497.95</f>
        <v>182716.09000000003</v>
      </c>
      <c r="CE44" s="108">
        <f>CC44</f>
        <v>179588.34</v>
      </c>
      <c r="CF44" s="108">
        <v>202770.03</v>
      </c>
    </row>
    <row r="45" spans="1:84" s="139" customFormat="1" ht="12.75" customHeight="1" x14ac:dyDescent="0.4">
      <c r="A45" s="124">
        <v>145</v>
      </c>
      <c r="B45" s="124">
        <f t="shared" si="61"/>
        <v>24</v>
      </c>
      <c r="C45" s="127" t="s">
        <v>292</v>
      </c>
      <c r="D45" s="106">
        <v>53100</v>
      </c>
      <c r="E45" s="106">
        <v>56899</v>
      </c>
      <c r="F45" s="128">
        <v>77382</v>
      </c>
      <c r="G45" s="137">
        <v>83536</v>
      </c>
      <c r="H45" s="137">
        <v>96392</v>
      </c>
      <c r="I45" s="129"/>
      <c r="J45" s="130">
        <v>56693</v>
      </c>
      <c r="K45" s="130">
        <v>84043</v>
      </c>
      <c r="L45" s="130">
        <v>57780</v>
      </c>
      <c r="M45" s="130">
        <v>61143</v>
      </c>
      <c r="N45" s="129">
        <f t="shared" si="62"/>
        <v>3363</v>
      </c>
      <c r="O45" s="138">
        <f t="shared" si="63"/>
        <v>5.8203530633437174E-2</v>
      </c>
      <c r="Q45" s="130">
        <v>61972</v>
      </c>
      <c r="R45" s="132">
        <v>64906.53</v>
      </c>
      <c r="S45" s="132">
        <v>61872</v>
      </c>
      <c r="T45" s="130">
        <v>63641</v>
      </c>
      <c r="U45" s="132">
        <f t="shared" si="64"/>
        <v>-3034.5299999999988</v>
      </c>
      <c r="V45" s="132">
        <f t="shared" si="65"/>
        <v>-4.8966146001419977E-2</v>
      </c>
      <c r="W45" s="132"/>
      <c r="X45" s="132"/>
      <c r="Y45" s="130">
        <v>72147</v>
      </c>
      <c r="Z45" s="130">
        <v>72147</v>
      </c>
      <c r="AA45" s="130">
        <v>78530</v>
      </c>
      <c r="AB45" s="132">
        <f t="shared" si="40"/>
        <v>8506</v>
      </c>
      <c r="AC45" s="132">
        <f t="shared" si="66"/>
        <v>1769</v>
      </c>
      <c r="AD45" s="131">
        <f t="shared" si="41"/>
        <v>0.1336559764931412</v>
      </c>
      <c r="AE45" s="133">
        <f t="shared" si="42"/>
        <v>8506</v>
      </c>
      <c r="AF45" s="131">
        <f t="shared" si="43"/>
        <v>0.1336559764931412</v>
      </c>
      <c r="AG45" s="133">
        <f t="shared" si="44"/>
        <v>14889</v>
      </c>
      <c r="AH45" s="131">
        <f t="shared" si="45"/>
        <v>0.2339529548561462</v>
      </c>
      <c r="AI45" s="130">
        <v>72733</v>
      </c>
      <c r="AJ45" s="130">
        <v>72733</v>
      </c>
      <c r="AK45" s="130">
        <f t="shared" si="46"/>
        <v>-5797</v>
      </c>
      <c r="AL45" s="134">
        <f t="shared" si="67"/>
        <v>-7.3818922704698836E-2</v>
      </c>
      <c r="AM45" s="130">
        <f t="shared" si="47"/>
        <v>-5797</v>
      </c>
      <c r="AN45" s="134">
        <f t="shared" si="68"/>
        <v>-7.3818922704698836E-2</v>
      </c>
      <c r="AO45" s="108">
        <v>91946</v>
      </c>
      <c r="AP45" s="108">
        <f t="shared" si="48"/>
        <v>13416</v>
      </c>
      <c r="AQ45" s="131">
        <f t="shared" si="69"/>
        <v>0.17083916974404686</v>
      </c>
      <c r="AR45" s="130">
        <v>72733</v>
      </c>
      <c r="AS45" s="132">
        <f t="shared" si="49"/>
        <v>-5797</v>
      </c>
      <c r="AT45" s="131">
        <f t="shared" si="70"/>
        <v>-7.3818922704698836E-2</v>
      </c>
      <c r="AU45" s="108">
        <v>74729</v>
      </c>
      <c r="AV45" s="108">
        <f t="shared" si="50"/>
        <v>89968</v>
      </c>
      <c r="AW45" s="108">
        <f t="shared" si="51"/>
        <v>-1978</v>
      </c>
      <c r="AX45" s="131">
        <f t="shared" si="52"/>
        <v>-2.1512626976703718E-2</v>
      </c>
      <c r="AY45" s="108">
        <v>89968</v>
      </c>
      <c r="AZ45" s="108">
        <f t="shared" si="53"/>
        <v>-1978</v>
      </c>
      <c r="BA45" s="131">
        <f t="shared" si="54"/>
        <v>-2.1512626976703718E-2</v>
      </c>
      <c r="BB45" s="112">
        <f t="shared" si="55"/>
        <v>0</v>
      </c>
      <c r="BC45" s="108">
        <v>69782</v>
      </c>
      <c r="BD45" s="108">
        <f t="shared" si="56"/>
        <v>-20186</v>
      </c>
      <c r="BE45" s="134">
        <f t="shared" si="71"/>
        <v>-0.22436866441401387</v>
      </c>
      <c r="BF45" s="108">
        <v>66294</v>
      </c>
      <c r="BG45" s="108">
        <v>76856</v>
      </c>
      <c r="BH45" s="108">
        <v>77232</v>
      </c>
      <c r="BI45" s="108">
        <v>79362</v>
      </c>
      <c r="BJ45" s="108">
        <v>79362</v>
      </c>
      <c r="BK45" s="108">
        <v>79362</v>
      </c>
      <c r="BL45" s="108">
        <v>81494</v>
      </c>
      <c r="BM45" s="108">
        <v>67227.460000000006</v>
      </c>
      <c r="BN45" s="108">
        <v>74870</v>
      </c>
      <c r="BO45" s="108">
        <v>7549</v>
      </c>
      <c r="BP45" s="108">
        <f t="shared" si="57"/>
        <v>-4492</v>
      </c>
      <c r="BQ45" s="134">
        <f t="shared" si="72"/>
        <v>-5.6601396134170007E-2</v>
      </c>
      <c r="BR45" s="111">
        <f t="shared" si="58"/>
        <v>-67321</v>
      </c>
      <c r="BS45" s="108">
        <v>67710.31</v>
      </c>
      <c r="BT45" s="108">
        <v>77398</v>
      </c>
      <c r="BU45" s="108">
        <v>86628.69</v>
      </c>
      <c r="BV45" s="108">
        <v>79271</v>
      </c>
      <c r="BW45" s="108">
        <v>63115</v>
      </c>
      <c r="BX45" s="108">
        <f>57006.4+500</f>
        <v>57506.400000000001</v>
      </c>
      <c r="BY45" s="108">
        <f t="shared" si="59"/>
        <v>63115</v>
      </c>
      <c r="BZ45" s="108">
        <f>61145.66+180.82</f>
        <v>61326.48</v>
      </c>
      <c r="CA45" s="108">
        <v>66309.539999999994</v>
      </c>
      <c r="CB45" s="108">
        <v>70744.899999999994</v>
      </c>
      <c r="CC45" s="108">
        <f t="shared" si="60"/>
        <v>70744.899999999994</v>
      </c>
      <c r="CD45" s="108">
        <v>66921.149999999994</v>
      </c>
      <c r="CE45" s="108">
        <v>73244.899999999994</v>
      </c>
      <c r="CF45" s="108">
        <v>77097.62</v>
      </c>
    </row>
    <row r="46" spans="1:84" s="139" customFormat="1" ht="12.75" customHeight="1" x14ac:dyDescent="0.4">
      <c r="A46" s="124">
        <v>149</v>
      </c>
      <c r="B46" s="124">
        <f t="shared" si="61"/>
        <v>25</v>
      </c>
      <c r="C46" s="127" t="s">
        <v>293</v>
      </c>
      <c r="D46" s="106">
        <v>6370</v>
      </c>
      <c r="E46" s="106">
        <v>6878</v>
      </c>
      <c r="F46" s="128">
        <v>4834</v>
      </c>
      <c r="G46" s="137">
        <v>6821</v>
      </c>
      <c r="H46" s="137">
        <v>4279</v>
      </c>
      <c r="I46" s="129"/>
      <c r="J46" s="130">
        <v>6621</v>
      </c>
      <c r="K46" s="130">
        <v>7000</v>
      </c>
      <c r="L46" s="130">
        <v>6789</v>
      </c>
      <c r="M46" s="130">
        <v>6800</v>
      </c>
      <c r="N46" s="129">
        <f t="shared" si="62"/>
        <v>11</v>
      </c>
      <c r="O46" s="138">
        <f t="shared" si="63"/>
        <v>1.6202680807188099E-3</v>
      </c>
      <c r="Q46" s="130">
        <v>7584.19</v>
      </c>
      <c r="R46" s="132">
        <v>14833.83</v>
      </c>
      <c r="S46" s="132">
        <v>15500</v>
      </c>
      <c r="T46" s="130">
        <v>14800</v>
      </c>
      <c r="U46" s="132">
        <f t="shared" si="64"/>
        <v>666.17000000000007</v>
      </c>
      <c r="V46" s="132">
        <f t="shared" si="65"/>
        <v>8.7836670758512134E-2</v>
      </c>
      <c r="W46" s="132"/>
      <c r="X46" s="132"/>
      <c r="Y46" s="130">
        <f>T46</f>
        <v>14800</v>
      </c>
      <c r="Z46" s="130">
        <v>15500</v>
      </c>
      <c r="AA46" s="130">
        <v>14828</v>
      </c>
      <c r="AB46" s="132">
        <f t="shared" si="40"/>
        <v>0</v>
      </c>
      <c r="AC46" s="132">
        <f t="shared" si="66"/>
        <v>-700</v>
      </c>
      <c r="AD46" s="131">
        <f t="shared" si="41"/>
        <v>0</v>
      </c>
      <c r="AE46" s="133">
        <f t="shared" si="42"/>
        <v>700</v>
      </c>
      <c r="AF46" s="131">
        <f t="shared" si="43"/>
        <v>4.72972972972973E-2</v>
      </c>
      <c r="AG46" s="133">
        <f t="shared" si="44"/>
        <v>28</v>
      </c>
      <c r="AH46" s="131">
        <f t="shared" si="45"/>
        <v>1.8918918918918919E-3</v>
      </c>
      <c r="AI46" s="130">
        <v>27700</v>
      </c>
      <c r="AJ46" s="130">
        <v>15500</v>
      </c>
      <c r="AK46" s="130">
        <f t="shared" si="46"/>
        <v>12872</v>
      </c>
      <c r="AL46" s="134">
        <f t="shared" si="67"/>
        <v>0.86808740221203129</v>
      </c>
      <c r="AM46" s="130">
        <f t="shared" si="47"/>
        <v>672</v>
      </c>
      <c r="AN46" s="134">
        <f t="shared" si="68"/>
        <v>4.5319665497707037E-2</v>
      </c>
      <c r="AO46" s="108">
        <v>13145</v>
      </c>
      <c r="AP46" s="108">
        <f t="shared" si="48"/>
        <v>-1683</v>
      </c>
      <c r="AQ46" s="131">
        <f t="shared" si="69"/>
        <v>-0.11350148367952523</v>
      </c>
      <c r="AR46" s="130">
        <v>15500</v>
      </c>
      <c r="AS46" s="132">
        <f t="shared" si="49"/>
        <v>672</v>
      </c>
      <c r="AT46" s="131">
        <f t="shared" si="70"/>
        <v>4.5319665497707037E-2</v>
      </c>
      <c r="AU46" s="108">
        <v>15500</v>
      </c>
      <c r="AV46" s="108">
        <f t="shared" si="50"/>
        <v>925</v>
      </c>
      <c r="AW46" s="108">
        <f t="shared" si="51"/>
        <v>-12220</v>
      </c>
      <c r="AX46" s="131">
        <f t="shared" si="52"/>
        <v>-0.92963103841764927</v>
      </c>
      <c r="AY46" s="108">
        <v>925</v>
      </c>
      <c r="AZ46" s="108">
        <f t="shared" si="53"/>
        <v>-12220</v>
      </c>
      <c r="BA46" s="131">
        <f t="shared" si="54"/>
        <v>-0.92963103841764927</v>
      </c>
      <c r="BB46" s="112">
        <f t="shared" si="55"/>
        <v>0</v>
      </c>
      <c r="BC46" s="108">
        <v>500</v>
      </c>
      <c r="BD46" s="108">
        <f t="shared" si="56"/>
        <v>-425</v>
      </c>
      <c r="BE46" s="134"/>
      <c r="BF46" s="108">
        <v>1655</v>
      </c>
      <c r="BG46" s="108">
        <v>1000</v>
      </c>
      <c r="BH46" s="108">
        <v>738</v>
      </c>
      <c r="BI46" s="108">
        <v>1000</v>
      </c>
      <c r="BJ46" s="108">
        <v>1000</v>
      </c>
      <c r="BK46" s="108">
        <v>1000</v>
      </c>
      <c r="BL46" s="108">
        <v>1000</v>
      </c>
      <c r="BM46" s="108">
        <v>511.56</v>
      </c>
      <c r="BN46" s="108">
        <v>1000</v>
      </c>
      <c r="BO46" s="108">
        <v>0</v>
      </c>
      <c r="BP46" s="108">
        <f t="shared" si="57"/>
        <v>0</v>
      </c>
      <c r="BQ46" s="134">
        <f t="shared" si="72"/>
        <v>0</v>
      </c>
      <c r="BR46" s="111">
        <f t="shared" si="58"/>
        <v>-1000</v>
      </c>
      <c r="BS46" s="108">
        <v>1200.6500000000001</v>
      </c>
      <c r="BT46" s="108">
        <v>1000</v>
      </c>
      <c r="BU46" s="108">
        <v>638.5</v>
      </c>
      <c r="BV46" s="108">
        <v>500</v>
      </c>
      <c r="BW46" s="108">
        <v>1000</v>
      </c>
      <c r="BX46" s="108">
        <v>120</v>
      </c>
      <c r="BY46" s="108">
        <f t="shared" si="59"/>
        <v>1000</v>
      </c>
      <c r="BZ46" s="108">
        <v>20</v>
      </c>
      <c r="CA46" s="108">
        <v>1000</v>
      </c>
      <c r="CB46" s="108">
        <v>1000</v>
      </c>
      <c r="CC46" s="108">
        <f t="shared" si="60"/>
        <v>1000</v>
      </c>
      <c r="CD46" s="108">
        <v>40</v>
      </c>
      <c r="CE46" s="108">
        <f>CC46</f>
        <v>1000</v>
      </c>
      <c r="CF46" s="108">
        <v>1000</v>
      </c>
    </row>
    <row r="47" spans="1:84" ht="12.75" customHeight="1" x14ac:dyDescent="0.4">
      <c r="A47" s="124">
        <v>146</v>
      </c>
      <c r="B47" s="124">
        <f t="shared" si="61"/>
        <v>26</v>
      </c>
      <c r="C47" s="127" t="s">
        <v>294</v>
      </c>
      <c r="D47" s="106">
        <v>53728</v>
      </c>
      <c r="E47" s="106">
        <v>54769</v>
      </c>
      <c r="F47" s="128">
        <v>68011</v>
      </c>
      <c r="G47" s="106">
        <v>75023</v>
      </c>
      <c r="H47" s="106">
        <v>64411</v>
      </c>
      <c r="I47" s="129"/>
      <c r="J47" s="130">
        <v>75552</v>
      </c>
      <c r="K47" s="130">
        <v>76128</v>
      </c>
      <c r="L47" s="130">
        <v>80018</v>
      </c>
      <c r="M47" s="130">
        <v>67447</v>
      </c>
      <c r="N47" s="129">
        <f t="shared" si="62"/>
        <v>-12571</v>
      </c>
      <c r="O47" s="138">
        <f t="shared" si="63"/>
        <v>-0.15710215201579644</v>
      </c>
      <c r="Q47" s="130">
        <v>73331.259999999995</v>
      </c>
      <c r="R47" s="132">
        <v>72483.92</v>
      </c>
      <c r="S47" s="132">
        <v>68202</v>
      </c>
      <c r="T47" s="130">
        <v>80589</v>
      </c>
      <c r="U47" s="132">
        <f t="shared" si="64"/>
        <v>-4281.9199999999983</v>
      </c>
      <c r="V47" s="132">
        <f t="shared" si="65"/>
        <v>-5.8391469067898175E-2</v>
      </c>
      <c r="W47" s="132"/>
      <c r="X47" s="132"/>
      <c r="Y47" s="130">
        <v>79159</v>
      </c>
      <c r="Z47" s="130">
        <v>79159</v>
      </c>
      <c r="AA47" s="130">
        <v>86289</v>
      </c>
      <c r="AB47" s="132">
        <f t="shared" si="40"/>
        <v>-1430</v>
      </c>
      <c r="AC47" s="132">
        <f t="shared" si="66"/>
        <v>12387</v>
      </c>
      <c r="AD47" s="131">
        <f t="shared" si="41"/>
        <v>-1.774435717033342E-2</v>
      </c>
      <c r="AE47" s="133">
        <f t="shared" si="42"/>
        <v>-1430</v>
      </c>
      <c r="AF47" s="131">
        <f t="shared" si="43"/>
        <v>-1.774435717033342E-2</v>
      </c>
      <c r="AG47" s="133">
        <f t="shared" si="44"/>
        <v>5700</v>
      </c>
      <c r="AH47" s="131">
        <f t="shared" si="45"/>
        <v>7.0729255853776568E-2</v>
      </c>
      <c r="AI47" s="130">
        <v>75253</v>
      </c>
      <c r="AJ47" s="130">
        <v>75253</v>
      </c>
      <c r="AK47" s="130">
        <f t="shared" si="46"/>
        <v>-11036</v>
      </c>
      <c r="AL47" s="134">
        <f t="shared" si="67"/>
        <v>-0.12789579204765381</v>
      </c>
      <c r="AM47" s="130">
        <f t="shared" si="47"/>
        <v>-11036</v>
      </c>
      <c r="AN47" s="134">
        <f t="shared" si="68"/>
        <v>-0.12789579204765381</v>
      </c>
      <c r="AO47" s="108">
        <v>72227</v>
      </c>
      <c r="AP47" s="108">
        <f t="shared" si="48"/>
        <v>-14062</v>
      </c>
      <c r="AQ47" s="131">
        <f t="shared" si="69"/>
        <v>-0.16296399309297824</v>
      </c>
      <c r="AR47" s="130">
        <v>88519</v>
      </c>
      <c r="AS47" s="132">
        <f t="shared" si="49"/>
        <v>2230</v>
      </c>
      <c r="AT47" s="131">
        <f t="shared" si="70"/>
        <v>2.5843386758451253E-2</v>
      </c>
      <c r="AU47" s="108">
        <v>88521</v>
      </c>
      <c r="AV47" s="108">
        <f t="shared" si="50"/>
        <v>80394</v>
      </c>
      <c r="AW47" s="108">
        <f t="shared" si="51"/>
        <v>8167</v>
      </c>
      <c r="AX47" s="131">
        <f t="shared" si="52"/>
        <v>0.11307405817768978</v>
      </c>
      <c r="AY47" s="108">
        <v>80394</v>
      </c>
      <c r="AZ47" s="108">
        <f t="shared" si="53"/>
        <v>8167</v>
      </c>
      <c r="BA47" s="131">
        <f t="shared" si="54"/>
        <v>0.11307405817768978</v>
      </c>
      <c r="BB47" s="112">
        <f t="shared" si="55"/>
        <v>0</v>
      </c>
      <c r="BC47" s="108">
        <v>81892</v>
      </c>
      <c r="BD47" s="108">
        <f t="shared" si="56"/>
        <v>1498</v>
      </c>
      <c r="BE47" s="134">
        <f t="shared" ref="BE47:BE58" si="73">BD47/AY47</f>
        <v>1.8633231335671817E-2</v>
      </c>
      <c r="BF47" s="108">
        <v>74735</v>
      </c>
      <c r="BG47" s="108">
        <v>91181</v>
      </c>
      <c r="BH47" s="108">
        <v>72182</v>
      </c>
      <c r="BI47" s="108">
        <v>80225</v>
      </c>
      <c r="BJ47" s="108">
        <v>80225</v>
      </c>
      <c r="BK47" s="108">
        <v>80225</v>
      </c>
      <c r="BL47" s="108">
        <v>81025</v>
      </c>
      <c r="BM47" s="108">
        <f>67253.54+655.6</f>
        <v>67909.14</v>
      </c>
      <c r="BN47" s="108">
        <v>78728</v>
      </c>
      <c r="BO47" s="108">
        <v>4650</v>
      </c>
      <c r="BP47" s="108">
        <f t="shared" si="57"/>
        <v>-1497</v>
      </c>
      <c r="BQ47" s="134">
        <f t="shared" si="72"/>
        <v>-1.8660018697413523E-2</v>
      </c>
      <c r="BR47" s="111">
        <f t="shared" si="58"/>
        <v>-74078</v>
      </c>
      <c r="BS47" s="108">
        <v>64981.279999999999</v>
      </c>
      <c r="BT47" s="108">
        <v>78313</v>
      </c>
      <c r="BU47" s="108">
        <v>73267.28</v>
      </c>
      <c r="BV47" s="108">
        <v>79879</v>
      </c>
      <c r="BW47" s="108">
        <v>78375</v>
      </c>
      <c r="BX47" s="108">
        <v>67115.86</v>
      </c>
      <c r="BY47" s="108">
        <f t="shared" si="59"/>
        <v>78375</v>
      </c>
      <c r="BZ47" s="108">
        <f>72819.07+4793.24</f>
        <v>77612.310000000012</v>
      </c>
      <c r="CA47" s="108">
        <v>82021.539999999994</v>
      </c>
      <c r="CB47" s="108">
        <v>86553.02</v>
      </c>
      <c r="CC47" s="108">
        <f>86553.02+3700</f>
        <v>90253.02</v>
      </c>
      <c r="CD47" s="108">
        <f>72909.66+1842.71</f>
        <v>74752.37000000001</v>
      </c>
      <c r="CE47" s="108">
        <f>CC47</f>
        <v>90253.02</v>
      </c>
      <c r="CF47" s="108">
        <v>93260.18</v>
      </c>
    </row>
    <row r="48" spans="1:84" ht="12.75" customHeight="1" x14ac:dyDescent="0.4">
      <c r="A48" s="154">
        <v>141.1</v>
      </c>
      <c r="B48" s="124">
        <f t="shared" si="61"/>
        <v>27</v>
      </c>
      <c r="C48" s="127" t="s">
        <v>295</v>
      </c>
      <c r="D48" s="106">
        <v>3000</v>
      </c>
      <c r="E48" s="106">
        <v>3000</v>
      </c>
      <c r="F48" s="128">
        <v>3000</v>
      </c>
      <c r="G48" s="106">
        <v>3000</v>
      </c>
      <c r="H48" s="106">
        <v>3000</v>
      </c>
      <c r="I48" s="129"/>
      <c r="J48" s="130">
        <v>3000</v>
      </c>
      <c r="K48" s="130">
        <f>J48</f>
        <v>3000</v>
      </c>
      <c r="L48" s="130">
        <v>3000</v>
      </c>
      <c r="M48" s="130">
        <v>2700</v>
      </c>
      <c r="N48" s="129">
        <f t="shared" si="62"/>
        <v>-300</v>
      </c>
      <c r="O48" s="138">
        <f t="shared" si="63"/>
        <v>-0.1</v>
      </c>
      <c r="Q48" s="130">
        <v>2700</v>
      </c>
      <c r="R48" s="132">
        <v>2547.83</v>
      </c>
      <c r="S48" s="132">
        <v>2700</v>
      </c>
      <c r="T48" s="130">
        <v>300</v>
      </c>
      <c r="U48" s="132">
        <f t="shared" si="64"/>
        <v>152.17000000000007</v>
      </c>
      <c r="V48" s="132">
        <f t="shared" si="65"/>
        <v>5.6359259259259289E-2</v>
      </c>
      <c r="W48" s="132"/>
      <c r="X48" s="132"/>
      <c r="Y48" s="130">
        <f>T48</f>
        <v>300</v>
      </c>
      <c r="Z48" s="130">
        <v>300</v>
      </c>
      <c r="AA48" s="130">
        <v>300</v>
      </c>
      <c r="AB48" s="132">
        <f t="shared" si="40"/>
        <v>0</v>
      </c>
      <c r="AC48" s="132">
        <f t="shared" si="66"/>
        <v>-2400</v>
      </c>
      <c r="AD48" s="131">
        <f t="shared" si="41"/>
        <v>0</v>
      </c>
      <c r="AE48" s="133">
        <f t="shared" si="42"/>
        <v>0</v>
      </c>
      <c r="AF48" s="131">
        <f t="shared" si="43"/>
        <v>0</v>
      </c>
      <c r="AG48" s="133">
        <f t="shared" si="44"/>
        <v>0</v>
      </c>
      <c r="AH48" s="131">
        <f t="shared" si="45"/>
        <v>0</v>
      </c>
      <c r="AI48" s="130">
        <v>300</v>
      </c>
      <c r="AJ48" s="130">
        <v>300</v>
      </c>
      <c r="AK48" s="130">
        <f t="shared" si="46"/>
        <v>0</v>
      </c>
      <c r="AL48" s="134">
        <f t="shared" si="67"/>
        <v>0</v>
      </c>
      <c r="AM48" s="130">
        <f t="shared" si="47"/>
        <v>0</v>
      </c>
      <c r="AN48" s="134">
        <f t="shared" si="68"/>
        <v>0</v>
      </c>
      <c r="AO48" s="108">
        <f>AJ48</f>
        <v>300</v>
      </c>
      <c r="AP48" s="108">
        <f t="shared" si="48"/>
        <v>0</v>
      </c>
      <c r="AQ48" s="131">
        <f t="shared" si="69"/>
        <v>0</v>
      </c>
      <c r="AR48" s="130">
        <v>300</v>
      </c>
      <c r="AS48" s="132">
        <f t="shared" si="49"/>
        <v>0</v>
      </c>
      <c r="AT48" s="131">
        <f t="shared" si="70"/>
        <v>0</v>
      </c>
      <c r="AU48" s="108">
        <v>300</v>
      </c>
      <c r="AV48" s="108">
        <f t="shared" si="50"/>
        <v>300</v>
      </c>
      <c r="AW48" s="108">
        <f t="shared" si="51"/>
        <v>0</v>
      </c>
      <c r="AX48" s="131">
        <f t="shared" si="52"/>
        <v>0</v>
      </c>
      <c r="AY48" s="108">
        <v>300</v>
      </c>
      <c r="AZ48" s="108">
        <f t="shared" si="53"/>
        <v>0</v>
      </c>
      <c r="BA48" s="131">
        <f t="shared" si="54"/>
        <v>0</v>
      </c>
      <c r="BB48" s="112">
        <f t="shared" si="55"/>
        <v>0</v>
      </c>
      <c r="BC48" s="108">
        <v>300</v>
      </c>
      <c r="BD48" s="108">
        <f t="shared" si="56"/>
        <v>0</v>
      </c>
      <c r="BE48" s="134">
        <f t="shared" si="73"/>
        <v>0</v>
      </c>
      <c r="BF48" s="108">
        <v>300</v>
      </c>
      <c r="BG48" s="108">
        <v>300</v>
      </c>
      <c r="BH48" s="108">
        <v>0</v>
      </c>
      <c r="BI48" s="108">
        <v>0</v>
      </c>
      <c r="BJ48" s="108">
        <v>0</v>
      </c>
      <c r="BK48" s="108">
        <v>0</v>
      </c>
      <c r="BL48" s="108">
        <v>0</v>
      </c>
      <c r="BM48" s="108">
        <v>0</v>
      </c>
      <c r="BN48" s="108">
        <v>0</v>
      </c>
      <c r="BO48" s="108">
        <v>0</v>
      </c>
      <c r="BP48" s="108">
        <f t="shared" si="57"/>
        <v>0</v>
      </c>
      <c r="BQ48" s="134"/>
      <c r="BR48" s="111">
        <f t="shared" si="58"/>
        <v>0</v>
      </c>
      <c r="BS48" s="108">
        <v>0</v>
      </c>
      <c r="BT48" s="108">
        <v>0</v>
      </c>
      <c r="BU48" s="108">
        <v>0</v>
      </c>
      <c r="BV48" s="108">
        <v>0</v>
      </c>
      <c r="BW48" s="108">
        <v>0</v>
      </c>
      <c r="BX48" s="108">
        <v>0</v>
      </c>
      <c r="BY48" s="108">
        <f t="shared" si="59"/>
        <v>0</v>
      </c>
      <c r="BZ48" s="108">
        <v>0</v>
      </c>
      <c r="CA48" s="108">
        <v>0</v>
      </c>
      <c r="CB48" s="108">
        <v>0</v>
      </c>
      <c r="CC48" s="108">
        <f>CB48</f>
        <v>0</v>
      </c>
      <c r="CD48" s="108">
        <v>0</v>
      </c>
      <c r="CE48" s="108">
        <f>CC48</f>
        <v>0</v>
      </c>
      <c r="CF48" s="108">
        <v>0</v>
      </c>
    </row>
    <row r="49" spans="1:86" ht="12.75" customHeight="1" x14ac:dyDescent="0.4">
      <c r="A49" s="124">
        <v>141</v>
      </c>
      <c r="B49" s="124">
        <f t="shared" si="61"/>
        <v>28</v>
      </c>
      <c r="C49" s="127" t="s">
        <v>296</v>
      </c>
      <c r="D49" s="106">
        <v>66681</v>
      </c>
      <c r="E49" s="106">
        <v>70271</v>
      </c>
      <c r="F49" s="128">
        <v>71610</v>
      </c>
      <c r="G49" s="106">
        <v>85845</v>
      </c>
      <c r="H49" s="106">
        <v>85845</v>
      </c>
      <c r="I49" s="129"/>
      <c r="J49" s="130">
        <v>97166</v>
      </c>
      <c r="K49" s="130">
        <v>103742</v>
      </c>
      <c r="L49" s="130">
        <v>94466</v>
      </c>
      <c r="M49" s="130">
        <v>96735</v>
      </c>
      <c r="N49" s="129">
        <f t="shared" si="62"/>
        <v>2269</v>
      </c>
      <c r="O49" s="138">
        <f t="shared" si="63"/>
        <v>2.4019223847733577E-2</v>
      </c>
      <c r="Q49" s="130">
        <v>94222.7</v>
      </c>
      <c r="R49" s="132">
        <v>97159.8</v>
      </c>
      <c r="S49" s="132">
        <v>97435</v>
      </c>
      <c r="T49" s="130">
        <v>134556</v>
      </c>
      <c r="U49" s="132">
        <f t="shared" si="64"/>
        <v>275.19999999999709</v>
      </c>
      <c r="V49" s="132">
        <f t="shared" si="65"/>
        <v>2.9207399066254426E-3</v>
      </c>
      <c r="W49" s="132"/>
      <c r="X49" s="132"/>
      <c r="Y49" s="130">
        <v>114473</v>
      </c>
      <c r="Z49" s="130">
        <v>105223</v>
      </c>
      <c r="AA49" s="130">
        <v>100252</v>
      </c>
      <c r="AB49" s="132">
        <f t="shared" si="40"/>
        <v>-20083</v>
      </c>
      <c r="AC49" s="132">
        <f t="shared" si="66"/>
        <v>37121</v>
      </c>
      <c r="AD49" s="131">
        <f t="shared" si="41"/>
        <v>-0.14925384226641697</v>
      </c>
      <c r="AE49" s="133">
        <f t="shared" si="42"/>
        <v>-29333</v>
      </c>
      <c r="AF49" s="131">
        <f t="shared" si="43"/>
        <v>-0.2179984541752133</v>
      </c>
      <c r="AG49" s="133">
        <f t="shared" si="44"/>
        <v>-34304</v>
      </c>
      <c r="AH49" s="131">
        <f t="shared" si="45"/>
        <v>-0.25494218020749726</v>
      </c>
      <c r="AI49" s="130">
        <v>104973</v>
      </c>
      <c r="AJ49" s="130">
        <v>104973</v>
      </c>
      <c r="AK49" s="130">
        <f t="shared" si="46"/>
        <v>4721</v>
      </c>
      <c r="AL49" s="134">
        <f t="shared" si="67"/>
        <v>4.7091329848781074E-2</v>
      </c>
      <c r="AM49" s="130">
        <f t="shared" si="47"/>
        <v>4721</v>
      </c>
      <c r="AN49" s="134">
        <f t="shared" si="68"/>
        <v>4.7091329848781074E-2</v>
      </c>
      <c r="AO49" s="108">
        <v>106525</v>
      </c>
      <c r="AP49" s="108">
        <f t="shared" si="48"/>
        <v>6273</v>
      </c>
      <c r="AQ49" s="131">
        <f t="shared" si="69"/>
        <v>6.2572317759246696E-2</v>
      </c>
      <c r="AR49" s="130">
        <v>111986</v>
      </c>
      <c r="AS49" s="132">
        <f t="shared" si="49"/>
        <v>11734</v>
      </c>
      <c r="AT49" s="131">
        <f t="shared" si="70"/>
        <v>0.11704504648286318</v>
      </c>
      <c r="AU49" s="108">
        <v>117145</v>
      </c>
      <c r="AV49" s="108">
        <f t="shared" si="50"/>
        <v>108043</v>
      </c>
      <c r="AW49" s="108">
        <f t="shared" si="51"/>
        <v>1518</v>
      </c>
      <c r="AX49" s="131">
        <f t="shared" si="52"/>
        <v>1.4250176015019949E-2</v>
      </c>
      <c r="AY49" s="108">
        <v>108043</v>
      </c>
      <c r="AZ49" s="108">
        <f t="shared" si="53"/>
        <v>1518</v>
      </c>
      <c r="BA49" s="131">
        <f t="shared" si="54"/>
        <v>1.4250176015019949E-2</v>
      </c>
      <c r="BB49" s="112">
        <f t="shared" si="55"/>
        <v>0</v>
      </c>
      <c r="BC49" s="108">
        <v>116321</v>
      </c>
      <c r="BD49" s="108">
        <f t="shared" si="56"/>
        <v>8278</v>
      </c>
      <c r="BE49" s="134">
        <f t="shared" si="73"/>
        <v>7.6617642975481987E-2</v>
      </c>
      <c r="BF49" s="108">
        <v>107810</v>
      </c>
      <c r="BG49" s="108">
        <v>114094</v>
      </c>
      <c r="BH49" s="108">
        <v>112392</v>
      </c>
      <c r="BI49" s="108">
        <v>117361</v>
      </c>
      <c r="BJ49" s="108">
        <v>117361</v>
      </c>
      <c r="BK49" s="108">
        <v>117361</v>
      </c>
      <c r="BL49" s="108">
        <v>119156</v>
      </c>
      <c r="BM49" s="108">
        <v>116030.65</v>
      </c>
      <c r="BN49" s="108">
        <v>119156</v>
      </c>
      <c r="BO49" s="108">
        <v>0</v>
      </c>
      <c r="BP49" s="108">
        <f t="shared" si="57"/>
        <v>1795</v>
      </c>
      <c r="BQ49" s="134">
        <f t="shared" ref="BQ49:BQ58" si="74">BP49/BK49</f>
        <v>1.5294689036391987E-2</v>
      </c>
      <c r="BR49" s="111">
        <f t="shared" si="58"/>
        <v>-119156</v>
      </c>
      <c r="BS49" s="108">
        <v>119158.13</v>
      </c>
      <c r="BT49" s="108">
        <v>143698</v>
      </c>
      <c r="BU49" s="108">
        <v>142980.38</v>
      </c>
      <c r="BV49" s="108">
        <v>146436</v>
      </c>
      <c r="BW49" s="108">
        <v>148354</v>
      </c>
      <c r="BX49" s="108">
        <v>146837.72</v>
      </c>
      <c r="BY49" s="108">
        <f t="shared" si="59"/>
        <v>148354</v>
      </c>
      <c r="BZ49" s="108">
        <v>167355.76999999999</v>
      </c>
      <c r="CA49" s="108">
        <v>158298</v>
      </c>
      <c r="CB49" s="108">
        <v>159391</v>
      </c>
      <c r="CC49" s="108">
        <f>159391+12500</f>
        <v>171891</v>
      </c>
      <c r="CD49" s="108">
        <v>157141.82999999999</v>
      </c>
      <c r="CE49" s="108">
        <v>174391</v>
      </c>
      <c r="CF49" s="108">
        <v>169580.72</v>
      </c>
    </row>
    <row r="50" spans="1:86" ht="12.75" customHeight="1" x14ac:dyDescent="0.4">
      <c r="A50" s="124">
        <v>153</v>
      </c>
      <c r="B50" s="124">
        <f t="shared" si="61"/>
        <v>29</v>
      </c>
      <c r="C50" s="127" t="s">
        <v>297</v>
      </c>
      <c r="D50" s="106"/>
      <c r="E50" s="106"/>
      <c r="F50" s="128">
        <v>39500</v>
      </c>
      <c r="G50" s="106">
        <v>39573</v>
      </c>
      <c r="H50" s="106">
        <v>70373</v>
      </c>
      <c r="I50" s="129"/>
      <c r="J50" s="130">
        <v>136923</v>
      </c>
      <c r="K50" s="130">
        <v>159552</v>
      </c>
      <c r="L50" s="130">
        <v>124824</v>
      </c>
      <c r="M50" s="130">
        <v>147000</v>
      </c>
      <c r="N50" s="129">
        <f t="shared" si="62"/>
        <v>22176</v>
      </c>
      <c r="O50" s="138">
        <f t="shared" si="63"/>
        <v>0.17765814266487215</v>
      </c>
      <c r="Q50" s="130">
        <v>142658.85999999999</v>
      </c>
      <c r="R50" s="132">
        <v>145494.54999999999</v>
      </c>
      <c r="S50" s="132">
        <v>147000</v>
      </c>
      <c r="T50" s="130">
        <v>151452</v>
      </c>
      <c r="U50" s="132">
        <f t="shared" si="64"/>
        <v>1505.4500000000116</v>
      </c>
      <c r="V50" s="132">
        <f t="shared" si="65"/>
        <v>1.0552797071279077E-2</v>
      </c>
      <c r="W50" s="132"/>
      <c r="X50" s="132"/>
      <c r="Y50" s="130">
        <v>187507</v>
      </c>
      <c r="Z50" s="130">
        <v>187507</v>
      </c>
      <c r="AA50" s="130">
        <v>154098</v>
      </c>
      <c r="AB50" s="132">
        <f t="shared" si="40"/>
        <v>36055</v>
      </c>
      <c r="AC50" s="132">
        <f t="shared" si="66"/>
        <v>4452</v>
      </c>
      <c r="AD50" s="131">
        <f t="shared" si="41"/>
        <v>0.23806222433510288</v>
      </c>
      <c r="AE50" s="133">
        <f t="shared" si="42"/>
        <v>36055</v>
      </c>
      <c r="AF50" s="131">
        <f t="shared" si="43"/>
        <v>0.23806222433510288</v>
      </c>
      <c r="AG50" s="133">
        <f t="shared" si="44"/>
        <v>2646</v>
      </c>
      <c r="AH50" s="131">
        <f t="shared" si="45"/>
        <v>1.747088186356073E-2</v>
      </c>
      <c r="AI50" s="130">
        <v>196091</v>
      </c>
      <c r="AJ50" s="130">
        <v>167068</v>
      </c>
      <c r="AK50" s="130">
        <f t="shared" si="46"/>
        <v>41993</v>
      </c>
      <c r="AL50" s="134">
        <f t="shared" si="67"/>
        <v>0.27250840374307261</v>
      </c>
      <c r="AM50" s="130">
        <f t="shared" si="47"/>
        <v>12970</v>
      </c>
      <c r="AN50" s="134">
        <f t="shared" si="68"/>
        <v>8.4167218263702326E-2</v>
      </c>
      <c r="AO50" s="108">
        <v>171897</v>
      </c>
      <c r="AP50" s="108">
        <f t="shared" si="48"/>
        <v>17799</v>
      </c>
      <c r="AQ50" s="131">
        <f t="shared" si="69"/>
        <v>0.11550441926566211</v>
      </c>
      <c r="AR50" s="130">
        <v>201797</v>
      </c>
      <c r="AS50" s="132">
        <f t="shared" si="49"/>
        <v>47699</v>
      </c>
      <c r="AT50" s="131">
        <f t="shared" si="70"/>
        <v>0.30953678827758957</v>
      </c>
      <c r="AU50" s="108">
        <v>225605</v>
      </c>
      <c r="AV50" s="108">
        <v>207645</v>
      </c>
      <c r="AW50" s="108">
        <f t="shared" si="51"/>
        <v>35748</v>
      </c>
      <c r="AX50" s="131">
        <f t="shared" si="52"/>
        <v>0.2079617445330634</v>
      </c>
      <c r="AY50" s="108">
        <v>112005</v>
      </c>
      <c r="AZ50" s="108">
        <f t="shared" si="53"/>
        <v>-59892</v>
      </c>
      <c r="BA50" s="131">
        <f t="shared" si="54"/>
        <v>-0.34841794795720693</v>
      </c>
      <c r="BB50" s="112">
        <f t="shared" si="55"/>
        <v>95640</v>
      </c>
      <c r="BC50" s="108">
        <v>160068</v>
      </c>
      <c r="BD50" s="108">
        <f t="shared" si="56"/>
        <v>48063</v>
      </c>
      <c r="BE50" s="134">
        <f t="shared" si="73"/>
        <v>0.42911477166197937</v>
      </c>
      <c r="BF50" s="108">
        <v>140797</v>
      </c>
      <c r="BG50" s="108">
        <v>148675</v>
      </c>
      <c r="BH50" s="108">
        <v>150722</v>
      </c>
      <c r="BI50" s="108">
        <v>170883</v>
      </c>
      <c r="BJ50" s="108">
        <v>172246</v>
      </c>
      <c r="BK50" s="108">
        <v>172246</v>
      </c>
      <c r="BL50" s="108">
        <v>191741</v>
      </c>
      <c r="BM50" s="108">
        <f>155232.53+960.08</f>
        <v>156192.60999999999</v>
      </c>
      <c r="BN50" s="108">
        <v>158624</v>
      </c>
      <c r="BO50" s="108">
        <v>0</v>
      </c>
      <c r="BP50" s="108">
        <f t="shared" si="57"/>
        <v>-13622</v>
      </c>
      <c r="BQ50" s="134">
        <f t="shared" si="74"/>
        <v>-7.9084565098754112E-2</v>
      </c>
      <c r="BR50" s="111">
        <f t="shared" si="58"/>
        <v>-158624</v>
      </c>
      <c r="BS50" s="108">
        <f>145374.9+18724.78</f>
        <v>164099.68</v>
      </c>
      <c r="BT50" s="108">
        <v>127765</v>
      </c>
      <c r="BU50" s="108">
        <v>118638.75</v>
      </c>
      <c r="BV50" s="108">
        <v>147595</v>
      </c>
      <c r="BW50" s="108">
        <v>152480</v>
      </c>
      <c r="BX50" s="108">
        <v>134854.85999999999</v>
      </c>
      <c r="BY50" s="108">
        <f t="shared" si="59"/>
        <v>152480</v>
      </c>
      <c r="BZ50" s="108">
        <f>153676.02+1566.43</f>
        <v>155242.44999999998</v>
      </c>
      <c r="CA50" s="108">
        <v>168169</v>
      </c>
      <c r="CB50" s="108">
        <v>170377.86</v>
      </c>
      <c r="CC50" s="108">
        <f>170377.86+15070</f>
        <v>185447.86</v>
      </c>
      <c r="CD50" s="108">
        <f>168031.63+149.19</f>
        <v>168180.82</v>
      </c>
      <c r="CE50" s="108">
        <f>CC50</f>
        <v>185447.86</v>
      </c>
      <c r="CF50" s="108">
        <v>200932.7</v>
      </c>
      <c r="CH50" s="112"/>
    </row>
    <row r="51" spans="1:86" ht="12.75" customHeight="1" x14ac:dyDescent="0.4">
      <c r="A51" s="124">
        <v>155</v>
      </c>
      <c r="B51" s="124">
        <f t="shared" si="61"/>
        <v>30</v>
      </c>
      <c r="C51" s="127" t="s">
        <v>298</v>
      </c>
      <c r="D51" s="106">
        <v>35497</v>
      </c>
      <c r="E51" s="106">
        <v>38013</v>
      </c>
      <c r="F51" s="128">
        <v>38265</v>
      </c>
      <c r="G51" s="106">
        <v>40038</v>
      </c>
      <c r="H51" s="106">
        <v>36493</v>
      </c>
      <c r="I51" s="129"/>
      <c r="J51" s="130">
        <v>36106</v>
      </c>
      <c r="K51" s="130">
        <f>J51</f>
        <v>36106</v>
      </c>
      <c r="L51" s="130">
        <v>84718</v>
      </c>
      <c r="M51" s="130">
        <v>25000</v>
      </c>
      <c r="N51" s="129">
        <f t="shared" si="62"/>
        <v>-59718</v>
      </c>
      <c r="O51" s="138">
        <f t="shared" si="63"/>
        <v>-0.70490332632970565</v>
      </c>
      <c r="Q51" s="130">
        <v>136982.9</v>
      </c>
      <c r="R51" s="132">
        <v>106017.64</v>
      </c>
      <c r="S51" s="132">
        <v>75000</v>
      </c>
      <c r="T51" s="130">
        <v>121773</v>
      </c>
      <c r="U51" s="132">
        <f t="shared" si="64"/>
        <v>-31017.64</v>
      </c>
      <c r="V51" s="132">
        <f t="shared" si="65"/>
        <v>-0.22643439436601212</v>
      </c>
      <c r="W51" s="132"/>
      <c r="X51" s="132"/>
      <c r="Y51" s="130">
        <v>90000</v>
      </c>
      <c r="Z51" s="130">
        <v>90000</v>
      </c>
      <c r="AA51" s="130">
        <v>211656</v>
      </c>
      <c r="AB51" s="132">
        <f t="shared" si="40"/>
        <v>-31773</v>
      </c>
      <c r="AC51" s="132">
        <f t="shared" si="66"/>
        <v>46773</v>
      </c>
      <c r="AD51" s="131">
        <f t="shared" si="41"/>
        <v>-0.26091990835406864</v>
      </c>
      <c r="AE51" s="133">
        <f t="shared" si="42"/>
        <v>-31773</v>
      </c>
      <c r="AF51" s="131">
        <f t="shared" si="43"/>
        <v>-0.26091990835406864</v>
      </c>
      <c r="AG51" s="133">
        <f t="shared" si="44"/>
        <v>89883</v>
      </c>
      <c r="AH51" s="131">
        <f t="shared" si="45"/>
        <v>0.73811928752679168</v>
      </c>
      <c r="AI51" s="130">
        <v>100000</v>
      </c>
      <c r="AJ51" s="130">
        <v>95000</v>
      </c>
      <c r="AK51" s="130">
        <f t="shared" si="46"/>
        <v>-111656</v>
      </c>
      <c r="AL51" s="134">
        <f t="shared" si="67"/>
        <v>-0.52753524587065803</v>
      </c>
      <c r="AM51" s="130">
        <f t="shared" si="47"/>
        <v>-116656</v>
      </c>
      <c r="AN51" s="134">
        <f t="shared" si="68"/>
        <v>-0.55115848357712516</v>
      </c>
      <c r="AO51" s="108">
        <v>128593</v>
      </c>
      <c r="AP51" s="108">
        <f t="shared" si="48"/>
        <v>-83063</v>
      </c>
      <c r="AQ51" s="131">
        <f t="shared" si="69"/>
        <v>-0.39244339872245532</v>
      </c>
      <c r="AR51" s="130">
        <v>125000</v>
      </c>
      <c r="AS51" s="132">
        <f t="shared" si="49"/>
        <v>-86656</v>
      </c>
      <c r="AT51" s="131">
        <f t="shared" si="70"/>
        <v>-0.40941905733832257</v>
      </c>
      <c r="AU51" s="108">
        <v>125000</v>
      </c>
      <c r="AV51" s="108">
        <f>AY51</f>
        <v>175812</v>
      </c>
      <c r="AW51" s="108">
        <f t="shared" si="51"/>
        <v>47219</v>
      </c>
      <c r="AX51" s="131">
        <f t="shared" si="52"/>
        <v>0.36719728134501878</v>
      </c>
      <c r="AY51" s="108">
        <v>175812</v>
      </c>
      <c r="AZ51" s="108">
        <f t="shared" si="53"/>
        <v>47219</v>
      </c>
      <c r="BA51" s="131">
        <f t="shared" si="54"/>
        <v>0.36719728134501878</v>
      </c>
      <c r="BB51" s="112">
        <f t="shared" si="55"/>
        <v>0</v>
      </c>
      <c r="BC51" s="108">
        <v>95000</v>
      </c>
      <c r="BD51" s="108">
        <f t="shared" si="56"/>
        <v>-80812</v>
      </c>
      <c r="BE51" s="134">
        <f t="shared" si="73"/>
        <v>-0.45965008076809322</v>
      </c>
      <c r="BF51" s="108">
        <v>159898</v>
      </c>
      <c r="BG51" s="108">
        <v>175000</v>
      </c>
      <c r="BH51" s="108">
        <v>94438</v>
      </c>
      <c r="BI51" s="108">
        <v>150000</v>
      </c>
      <c r="BJ51" s="108">
        <v>125000</v>
      </c>
      <c r="BK51" s="108">
        <v>116735.03</v>
      </c>
      <c r="BL51" s="108">
        <v>125000</v>
      </c>
      <c r="BM51" s="108">
        <v>148323.89000000001</v>
      </c>
      <c r="BN51" s="108">
        <v>125000</v>
      </c>
      <c r="BO51" s="108">
        <v>0</v>
      </c>
      <c r="BP51" s="108">
        <f t="shared" si="57"/>
        <v>8264.9700000000012</v>
      </c>
      <c r="BQ51" s="134">
        <f t="shared" si="74"/>
        <v>7.0801112570922378E-2</v>
      </c>
      <c r="BR51" s="111">
        <f t="shared" si="58"/>
        <v>-125000</v>
      </c>
      <c r="BS51" s="108">
        <f>146458.19+8118</f>
        <v>154576.19</v>
      </c>
      <c r="BT51" s="108">
        <v>125000</v>
      </c>
      <c r="BU51" s="108">
        <v>162625.59</v>
      </c>
      <c r="BV51" s="108">
        <f>125000-12500</f>
        <v>112500</v>
      </c>
      <c r="BW51" s="108">
        <v>112500</v>
      </c>
      <c r="BX51" s="108">
        <v>116902.31</v>
      </c>
      <c r="BY51" s="108">
        <f t="shared" si="59"/>
        <v>112500</v>
      </c>
      <c r="BZ51" s="108">
        <f>160148.94+59000</f>
        <v>219148.94</v>
      </c>
      <c r="CA51" s="108">
        <f>115000-5000</f>
        <v>110000</v>
      </c>
      <c r="CB51" s="108">
        <v>110000</v>
      </c>
      <c r="CC51" s="108">
        <f t="shared" ref="CC51:CC58" si="75">CB51</f>
        <v>110000</v>
      </c>
      <c r="CD51" s="108">
        <v>104791.11</v>
      </c>
      <c r="CE51" s="108">
        <f>CC51</f>
        <v>110000</v>
      </c>
      <c r="CF51" s="108">
        <v>110000</v>
      </c>
    </row>
    <row r="52" spans="1:86" ht="12.75" customHeight="1" x14ac:dyDescent="0.4">
      <c r="A52" s="124">
        <v>165</v>
      </c>
      <c r="B52" s="124">
        <f t="shared" si="61"/>
        <v>31</v>
      </c>
      <c r="C52" s="127" t="s">
        <v>299</v>
      </c>
      <c r="D52" s="106">
        <v>10197</v>
      </c>
      <c r="E52" s="106">
        <v>10503</v>
      </c>
      <c r="F52" s="128">
        <v>10818</v>
      </c>
      <c r="G52" s="106">
        <v>11143</v>
      </c>
      <c r="H52" s="106">
        <v>11477</v>
      </c>
      <c r="I52" s="129"/>
      <c r="J52" s="130">
        <v>12000</v>
      </c>
      <c r="K52" s="130">
        <v>12360</v>
      </c>
      <c r="L52" s="130">
        <v>12360</v>
      </c>
      <c r="M52" s="130">
        <v>12360</v>
      </c>
      <c r="N52" s="129">
        <f t="shared" si="62"/>
        <v>0</v>
      </c>
      <c r="O52" s="138">
        <f t="shared" si="63"/>
        <v>0</v>
      </c>
      <c r="Q52" s="130">
        <v>12360</v>
      </c>
      <c r="R52" s="132">
        <v>12731</v>
      </c>
      <c r="S52" s="132">
        <v>12731</v>
      </c>
      <c r="T52" s="130">
        <v>13113</v>
      </c>
      <c r="U52" s="132">
        <f t="shared" si="64"/>
        <v>0</v>
      </c>
      <c r="V52" s="132">
        <f t="shared" si="65"/>
        <v>0</v>
      </c>
      <c r="W52" s="132"/>
      <c r="X52" s="132"/>
      <c r="Y52" s="130">
        <v>13520</v>
      </c>
      <c r="Z52" s="130">
        <v>13520</v>
      </c>
      <c r="AA52" s="130">
        <v>13520</v>
      </c>
      <c r="AB52" s="132">
        <f t="shared" si="40"/>
        <v>407</v>
      </c>
      <c r="AC52" s="132">
        <f t="shared" si="66"/>
        <v>382</v>
      </c>
      <c r="AD52" s="131">
        <f t="shared" si="41"/>
        <v>3.1037901319301456E-2</v>
      </c>
      <c r="AE52" s="133">
        <f t="shared" si="42"/>
        <v>407</v>
      </c>
      <c r="AF52" s="131">
        <f t="shared" si="43"/>
        <v>3.1037901319301456E-2</v>
      </c>
      <c r="AG52" s="133">
        <f t="shared" si="44"/>
        <v>407</v>
      </c>
      <c r="AH52" s="131">
        <f t="shared" si="45"/>
        <v>3.1037901319301456E-2</v>
      </c>
      <c r="AI52" s="130">
        <v>14200</v>
      </c>
      <c r="AJ52" s="130">
        <v>13520</v>
      </c>
      <c r="AK52" s="130">
        <f t="shared" si="46"/>
        <v>680</v>
      </c>
      <c r="AL52" s="134">
        <f t="shared" si="67"/>
        <v>5.0295857988165681E-2</v>
      </c>
      <c r="AM52" s="130">
        <f t="shared" si="47"/>
        <v>0</v>
      </c>
      <c r="AN52" s="134">
        <f t="shared" si="68"/>
        <v>0</v>
      </c>
      <c r="AO52" s="108">
        <v>14025</v>
      </c>
      <c r="AP52" s="108">
        <f t="shared" si="48"/>
        <v>505</v>
      </c>
      <c r="AQ52" s="131">
        <f t="shared" si="69"/>
        <v>3.7352071005917163E-2</v>
      </c>
      <c r="AR52" s="130">
        <v>13520</v>
      </c>
      <c r="AS52" s="132">
        <f t="shared" si="49"/>
        <v>0</v>
      </c>
      <c r="AT52" s="131">
        <f t="shared" si="70"/>
        <v>0</v>
      </c>
      <c r="AU52" s="108">
        <v>54270</v>
      </c>
      <c r="AV52" s="108">
        <f>AY52</f>
        <v>40560</v>
      </c>
      <c r="AW52" s="108">
        <f t="shared" si="51"/>
        <v>26535</v>
      </c>
      <c r="AX52" s="131">
        <f t="shared" si="52"/>
        <v>1.8919786096256686</v>
      </c>
      <c r="AY52" s="108">
        <v>40560</v>
      </c>
      <c r="AZ52" s="108">
        <f t="shared" si="53"/>
        <v>26535</v>
      </c>
      <c r="BA52" s="131">
        <f t="shared" si="54"/>
        <v>1.8919786096256686</v>
      </c>
      <c r="BB52" s="112">
        <f t="shared" si="55"/>
        <v>0</v>
      </c>
      <c r="BC52" s="108">
        <v>40560</v>
      </c>
      <c r="BD52" s="108">
        <f t="shared" si="56"/>
        <v>0</v>
      </c>
      <c r="BE52" s="134">
        <f t="shared" si="73"/>
        <v>0</v>
      </c>
      <c r="BF52" s="108">
        <f>40560-780</f>
        <v>39780</v>
      </c>
      <c r="BG52" s="108">
        <v>40560</v>
      </c>
      <c r="BH52" s="108">
        <v>40560</v>
      </c>
      <c r="BI52" s="108">
        <v>40560</v>
      </c>
      <c r="BJ52" s="108">
        <v>41371</v>
      </c>
      <c r="BK52" s="108">
        <v>41371</v>
      </c>
      <c r="BL52" s="108">
        <v>41371</v>
      </c>
      <c r="BM52" s="108">
        <v>41371</v>
      </c>
      <c r="BN52" s="108">
        <v>42405</v>
      </c>
      <c r="BO52" s="108">
        <v>0</v>
      </c>
      <c r="BP52" s="108">
        <f t="shared" si="57"/>
        <v>1034</v>
      </c>
      <c r="BQ52" s="134">
        <f t="shared" si="74"/>
        <v>2.49933528316937E-2</v>
      </c>
      <c r="BR52" s="111">
        <f t="shared" si="58"/>
        <v>-42405</v>
      </c>
      <c r="BS52" s="108">
        <v>42405</v>
      </c>
      <c r="BT52" s="108">
        <v>43465</v>
      </c>
      <c r="BU52" s="108">
        <v>43465</v>
      </c>
      <c r="BV52" s="108">
        <v>45666</v>
      </c>
      <c r="BW52" s="108">
        <v>46579</v>
      </c>
      <c r="BX52" s="108">
        <v>45666</v>
      </c>
      <c r="BY52" s="108">
        <f t="shared" si="59"/>
        <v>46579</v>
      </c>
      <c r="BZ52" s="108">
        <v>46579</v>
      </c>
      <c r="CA52" s="108">
        <v>47511</v>
      </c>
      <c r="CB52" s="108">
        <v>47511</v>
      </c>
      <c r="CC52" s="108">
        <f t="shared" si="75"/>
        <v>47511</v>
      </c>
      <c r="CD52" s="108">
        <v>47511</v>
      </c>
      <c r="CE52" s="108">
        <v>48461</v>
      </c>
      <c r="CF52" s="108">
        <v>49430.22</v>
      </c>
    </row>
    <row r="53" spans="1:86" ht="12.75" customHeight="1" x14ac:dyDescent="0.4">
      <c r="A53" s="124">
        <v>161</v>
      </c>
      <c r="B53" s="124">
        <f t="shared" si="61"/>
        <v>32</v>
      </c>
      <c r="C53" s="127" t="s">
        <v>300</v>
      </c>
      <c r="D53" s="106">
        <v>22684</v>
      </c>
      <c r="E53" s="106">
        <v>25169</v>
      </c>
      <c r="F53" s="128">
        <v>25144</v>
      </c>
      <c r="G53" s="106">
        <v>26844</v>
      </c>
      <c r="H53" s="106">
        <v>25217</v>
      </c>
      <c r="I53" s="129"/>
      <c r="J53" s="130">
        <v>27532</v>
      </c>
      <c r="K53" s="130">
        <v>30951</v>
      </c>
      <c r="L53" s="130">
        <v>26976</v>
      </c>
      <c r="M53" s="130">
        <v>27895</v>
      </c>
      <c r="N53" s="129">
        <f t="shared" si="62"/>
        <v>919</v>
      </c>
      <c r="O53" s="138">
        <f t="shared" si="63"/>
        <v>3.4067319098457886E-2</v>
      </c>
      <c r="Q53" s="130">
        <v>27895</v>
      </c>
      <c r="R53" s="132">
        <v>27966.25</v>
      </c>
      <c r="S53" s="132">
        <v>27895</v>
      </c>
      <c r="T53" s="130">
        <v>28852</v>
      </c>
      <c r="U53" s="132">
        <f t="shared" si="64"/>
        <v>-71.25</v>
      </c>
      <c r="V53" s="132">
        <f t="shared" si="65"/>
        <v>-2.5542211865925792E-3</v>
      </c>
      <c r="W53" s="132"/>
      <c r="X53" s="132"/>
      <c r="Y53" s="130">
        <v>40648</v>
      </c>
      <c r="Z53" s="130">
        <v>40648</v>
      </c>
      <c r="AA53" s="130">
        <v>37253</v>
      </c>
      <c r="AB53" s="132">
        <f t="shared" si="40"/>
        <v>11796</v>
      </c>
      <c r="AC53" s="132">
        <f t="shared" si="66"/>
        <v>957</v>
      </c>
      <c r="AD53" s="131">
        <f t="shared" si="41"/>
        <v>0.40884514071814781</v>
      </c>
      <c r="AE53" s="133">
        <f t="shared" si="42"/>
        <v>11796</v>
      </c>
      <c r="AF53" s="131">
        <f t="shared" si="43"/>
        <v>0.40884514071814781</v>
      </c>
      <c r="AG53" s="133">
        <f t="shared" si="44"/>
        <v>8401</v>
      </c>
      <c r="AH53" s="131">
        <f t="shared" si="45"/>
        <v>0.29117565506723969</v>
      </c>
      <c r="AI53" s="130">
        <v>43341</v>
      </c>
      <c r="AJ53" s="130">
        <v>43341</v>
      </c>
      <c r="AK53" s="130">
        <f t="shared" si="46"/>
        <v>6088</v>
      </c>
      <c r="AL53" s="134">
        <f t="shared" si="67"/>
        <v>0.16342308002040104</v>
      </c>
      <c r="AM53" s="130">
        <f t="shared" si="47"/>
        <v>6088</v>
      </c>
      <c r="AN53" s="134">
        <f t="shared" si="68"/>
        <v>0.16342308002040104</v>
      </c>
      <c r="AO53" s="108">
        <v>34393</v>
      </c>
      <c r="AP53" s="108">
        <f t="shared" si="48"/>
        <v>-2860</v>
      </c>
      <c r="AQ53" s="131">
        <f t="shared" si="69"/>
        <v>-7.6772340482645696E-2</v>
      </c>
      <c r="AR53" s="130">
        <v>46552</v>
      </c>
      <c r="AS53" s="132">
        <f t="shared" si="49"/>
        <v>9299</v>
      </c>
      <c r="AT53" s="131">
        <f t="shared" si="70"/>
        <v>0.24961748047137144</v>
      </c>
      <c r="AU53" s="108">
        <v>23522</v>
      </c>
      <c r="AV53" s="108">
        <f>AY53</f>
        <v>20264</v>
      </c>
      <c r="AW53" s="108">
        <f t="shared" si="51"/>
        <v>-14129</v>
      </c>
      <c r="AX53" s="131">
        <f t="shared" si="52"/>
        <v>-0.41081033931323235</v>
      </c>
      <c r="AY53" s="108">
        <v>20264</v>
      </c>
      <c r="AZ53" s="108">
        <f t="shared" si="53"/>
        <v>-14129</v>
      </c>
      <c r="BA53" s="131">
        <f t="shared" si="54"/>
        <v>-0.41081033931323235</v>
      </c>
      <c r="BB53" s="112">
        <f t="shared" si="55"/>
        <v>0</v>
      </c>
      <c r="BC53" s="108">
        <v>24513</v>
      </c>
      <c r="BD53" s="108">
        <f t="shared" si="56"/>
        <v>4249</v>
      </c>
      <c r="BE53" s="134">
        <f t="shared" si="73"/>
        <v>0.20968219502566127</v>
      </c>
      <c r="BF53" s="108">
        <v>19232</v>
      </c>
      <c r="BG53" s="108">
        <v>24757</v>
      </c>
      <c r="BH53" s="108">
        <v>23731</v>
      </c>
      <c r="BI53" s="108">
        <v>23758</v>
      </c>
      <c r="BJ53" s="108">
        <v>23758</v>
      </c>
      <c r="BK53" s="108">
        <v>23758</v>
      </c>
      <c r="BL53" s="108">
        <v>27490</v>
      </c>
      <c r="BM53" s="108">
        <v>25527.13</v>
      </c>
      <c r="BN53" s="108">
        <v>27490</v>
      </c>
      <c r="BO53" s="108">
        <v>0</v>
      </c>
      <c r="BP53" s="108">
        <f t="shared" si="57"/>
        <v>3732</v>
      </c>
      <c r="BQ53" s="134">
        <f t="shared" si="74"/>
        <v>0.15708392962370571</v>
      </c>
      <c r="BR53" s="111">
        <f t="shared" si="58"/>
        <v>-27490</v>
      </c>
      <c r="BS53" s="108">
        <v>26884.46</v>
      </c>
      <c r="BT53" s="108">
        <v>29471</v>
      </c>
      <c r="BU53" s="108">
        <f>27616.59+525</f>
        <v>28141.59</v>
      </c>
      <c r="BV53" s="108">
        <v>30160</v>
      </c>
      <c r="BW53" s="108">
        <v>30383</v>
      </c>
      <c r="BX53" s="108">
        <f>28790.75+2500</f>
        <v>31290.75</v>
      </c>
      <c r="BY53" s="108">
        <f t="shared" si="59"/>
        <v>30383</v>
      </c>
      <c r="BZ53" s="108">
        <v>31519.62</v>
      </c>
      <c r="CA53" s="108">
        <v>33049</v>
      </c>
      <c r="CB53" s="108">
        <v>34446.400000000001</v>
      </c>
      <c r="CC53" s="108">
        <f t="shared" si="75"/>
        <v>34446.400000000001</v>
      </c>
      <c r="CD53" s="108">
        <v>26239</v>
      </c>
      <c r="CE53" s="108">
        <v>33991.4</v>
      </c>
      <c r="CF53" s="108">
        <v>33991.4</v>
      </c>
    </row>
    <row r="54" spans="1:86" ht="12.75" customHeight="1" x14ac:dyDescent="0.4">
      <c r="A54" s="124">
        <v>162</v>
      </c>
      <c r="B54" s="124">
        <f t="shared" si="61"/>
        <v>33</v>
      </c>
      <c r="C54" s="127" t="s">
        <v>301</v>
      </c>
      <c r="D54" s="106">
        <v>8440</v>
      </c>
      <c r="E54" s="106">
        <v>4697</v>
      </c>
      <c r="F54" s="128">
        <v>7525</v>
      </c>
      <c r="G54" s="106">
        <v>5732</v>
      </c>
      <c r="H54" s="106">
        <v>7399</v>
      </c>
      <c r="I54" s="129"/>
      <c r="J54" s="130">
        <v>4027</v>
      </c>
      <c r="K54" s="130">
        <v>8147</v>
      </c>
      <c r="L54" s="130">
        <v>11084</v>
      </c>
      <c r="M54" s="130">
        <v>7624</v>
      </c>
      <c r="N54" s="129">
        <f t="shared" si="62"/>
        <v>-3460</v>
      </c>
      <c r="O54" s="138">
        <f t="shared" si="63"/>
        <v>-0.31216167448574522</v>
      </c>
      <c r="Q54" s="130">
        <v>8229.4699999999993</v>
      </c>
      <c r="R54" s="132">
        <v>8249.66</v>
      </c>
      <c r="S54" s="132">
        <v>6260</v>
      </c>
      <c r="T54" s="130">
        <v>5417</v>
      </c>
      <c r="U54" s="132">
        <f t="shared" si="64"/>
        <v>-1989.6599999999999</v>
      </c>
      <c r="V54" s="132">
        <f t="shared" si="65"/>
        <v>-0.24177255643437548</v>
      </c>
      <c r="W54" s="132"/>
      <c r="X54" s="132"/>
      <c r="Y54" s="130">
        <v>11166</v>
      </c>
      <c r="Z54" s="130">
        <v>11166</v>
      </c>
      <c r="AA54" s="130">
        <v>10765</v>
      </c>
      <c r="AB54" s="132">
        <f t="shared" si="40"/>
        <v>5749</v>
      </c>
      <c r="AC54" s="132">
        <f t="shared" si="66"/>
        <v>-843</v>
      </c>
      <c r="AD54" s="131">
        <f t="shared" si="41"/>
        <v>1.0612885360900868</v>
      </c>
      <c r="AE54" s="133">
        <f t="shared" si="42"/>
        <v>5749</v>
      </c>
      <c r="AF54" s="131">
        <f t="shared" si="43"/>
        <v>1.0612885360900868</v>
      </c>
      <c r="AG54" s="133">
        <f t="shared" si="44"/>
        <v>5348</v>
      </c>
      <c r="AH54" s="131">
        <f t="shared" si="45"/>
        <v>0.98726232231862654</v>
      </c>
      <c r="AI54" s="130">
        <v>9033</v>
      </c>
      <c r="AJ54" s="130">
        <v>9033</v>
      </c>
      <c r="AK54" s="130">
        <f t="shared" si="46"/>
        <v>-1732</v>
      </c>
      <c r="AL54" s="134">
        <f t="shared" si="67"/>
        <v>-0.16089177891314446</v>
      </c>
      <c r="AM54" s="130">
        <f t="shared" si="47"/>
        <v>-1732</v>
      </c>
      <c r="AN54" s="134">
        <f t="shared" si="68"/>
        <v>-0.16089177891314446</v>
      </c>
      <c r="AO54" s="108">
        <v>7228</v>
      </c>
      <c r="AP54" s="108">
        <f t="shared" si="48"/>
        <v>-3537</v>
      </c>
      <c r="AQ54" s="131">
        <f t="shared" si="69"/>
        <v>-0.32856479331165817</v>
      </c>
      <c r="AR54" s="130">
        <v>9033</v>
      </c>
      <c r="AS54" s="132">
        <f t="shared" si="49"/>
        <v>-1732</v>
      </c>
      <c r="AT54" s="131">
        <f t="shared" si="70"/>
        <v>-0.16089177891314446</v>
      </c>
      <c r="AU54" s="108">
        <v>12659</v>
      </c>
      <c r="AV54" s="108">
        <f>AY54</f>
        <v>8529</v>
      </c>
      <c r="AW54" s="108">
        <f t="shared" si="51"/>
        <v>1301</v>
      </c>
      <c r="AX54" s="131">
        <f t="shared" si="52"/>
        <v>0.17999446596568899</v>
      </c>
      <c r="AY54" s="108">
        <v>8529</v>
      </c>
      <c r="AZ54" s="108">
        <f t="shared" si="53"/>
        <v>1301</v>
      </c>
      <c r="BA54" s="131">
        <f t="shared" si="54"/>
        <v>0.17999446596568899</v>
      </c>
      <c r="BB54" s="112">
        <f t="shared" si="55"/>
        <v>0</v>
      </c>
      <c r="BC54" s="108">
        <v>5801</v>
      </c>
      <c r="BD54" s="108">
        <f t="shared" si="56"/>
        <v>-2728</v>
      </c>
      <c r="BE54" s="134">
        <f t="shared" si="73"/>
        <v>-0.31984992378942434</v>
      </c>
      <c r="BF54" s="108">
        <v>1697</v>
      </c>
      <c r="BG54" s="108">
        <v>5590</v>
      </c>
      <c r="BH54" s="108">
        <v>9638</v>
      </c>
      <c r="BI54" s="108">
        <v>8685</v>
      </c>
      <c r="BJ54" s="108">
        <v>8685</v>
      </c>
      <c r="BK54" s="108">
        <v>8685</v>
      </c>
      <c r="BL54" s="108">
        <v>12475</v>
      </c>
      <c r="BM54" s="108">
        <v>8273.5300000000007</v>
      </c>
      <c r="BN54" s="108">
        <v>12475</v>
      </c>
      <c r="BO54" s="108">
        <v>0</v>
      </c>
      <c r="BP54" s="108">
        <f t="shared" si="57"/>
        <v>3790</v>
      </c>
      <c r="BQ54" s="134">
        <f t="shared" si="74"/>
        <v>0.436384571099597</v>
      </c>
      <c r="BR54" s="111">
        <f t="shared" si="58"/>
        <v>-12475</v>
      </c>
      <c r="BS54" s="108">
        <v>16660.900000000001</v>
      </c>
      <c r="BT54" s="108">
        <v>9226</v>
      </c>
      <c r="BU54" s="108">
        <v>10863.64</v>
      </c>
      <c r="BV54" s="108">
        <v>16905</v>
      </c>
      <c r="BW54" s="108">
        <v>14215</v>
      </c>
      <c r="BX54" s="108">
        <f>12074.99+215</f>
        <v>12289.99</v>
      </c>
      <c r="BY54" s="108">
        <f t="shared" si="59"/>
        <v>14215</v>
      </c>
      <c r="BZ54" s="108">
        <v>12439.74</v>
      </c>
      <c r="CA54" s="108">
        <v>16165</v>
      </c>
      <c r="CB54" s="108">
        <v>16165</v>
      </c>
      <c r="CC54" s="108">
        <f t="shared" si="75"/>
        <v>16165</v>
      </c>
      <c r="CD54" s="108">
        <v>13816.9</v>
      </c>
      <c r="CE54" s="108">
        <v>7380</v>
      </c>
      <c r="CF54" s="108">
        <v>10200</v>
      </c>
    </row>
    <row r="55" spans="1:86" ht="12.75" customHeight="1" x14ac:dyDescent="0.4">
      <c r="A55" s="124">
        <v>163</v>
      </c>
      <c r="B55" s="124">
        <f t="shared" si="61"/>
        <v>34</v>
      </c>
      <c r="C55" s="127" t="s">
        <v>302</v>
      </c>
      <c r="D55" s="106">
        <v>6261</v>
      </c>
      <c r="E55" s="106">
        <v>6850</v>
      </c>
      <c r="F55" s="128">
        <v>6948</v>
      </c>
      <c r="G55" s="106">
        <v>7180</v>
      </c>
      <c r="H55" s="106">
        <v>8214</v>
      </c>
      <c r="I55" s="129"/>
      <c r="J55" s="130">
        <v>6050</v>
      </c>
      <c r="K55" s="130">
        <v>9634</v>
      </c>
      <c r="L55" s="130">
        <v>5720</v>
      </c>
      <c r="M55" s="130">
        <v>9015</v>
      </c>
      <c r="N55" s="129">
        <f t="shared" si="62"/>
        <v>3295</v>
      </c>
      <c r="O55" s="138">
        <f t="shared" si="63"/>
        <v>0.57604895104895104</v>
      </c>
      <c r="Q55" s="130">
        <v>8987.77</v>
      </c>
      <c r="R55" s="132">
        <v>9019.56</v>
      </c>
      <c r="S55" s="132">
        <v>9015</v>
      </c>
      <c r="T55" s="130">
        <v>9153</v>
      </c>
      <c r="U55" s="132">
        <f t="shared" si="64"/>
        <v>-4.5599999999994907</v>
      </c>
      <c r="V55" s="132">
        <f t="shared" si="65"/>
        <v>-5.0735610724345309E-4</v>
      </c>
      <c r="W55" s="132"/>
      <c r="X55" s="132"/>
      <c r="Y55" s="130">
        <v>11764</v>
      </c>
      <c r="Z55" s="130">
        <v>11764</v>
      </c>
      <c r="AA55" s="130">
        <v>9790</v>
      </c>
      <c r="AB55" s="132">
        <f t="shared" si="40"/>
        <v>2611</v>
      </c>
      <c r="AC55" s="132">
        <f t="shared" si="66"/>
        <v>138</v>
      </c>
      <c r="AD55" s="131">
        <f t="shared" si="41"/>
        <v>0.28526166284278381</v>
      </c>
      <c r="AE55" s="133">
        <f t="shared" si="42"/>
        <v>2611</v>
      </c>
      <c r="AF55" s="131">
        <f t="shared" si="43"/>
        <v>0.28526166284278381</v>
      </c>
      <c r="AG55" s="133">
        <f t="shared" si="44"/>
        <v>637</v>
      </c>
      <c r="AH55" s="131">
        <f t="shared" si="45"/>
        <v>6.9594668414727417E-2</v>
      </c>
      <c r="AI55" s="130">
        <v>10789</v>
      </c>
      <c r="AJ55" s="130">
        <v>10789</v>
      </c>
      <c r="AK55" s="130">
        <f t="shared" si="46"/>
        <v>999</v>
      </c>
      <c r="AL55" s="134">
        <f t="shared" si="67"/>
        <v>0.10204290091930542</v>
      </c>
      <c r="AM55" s="130">
        <f t="shared" si="47"/>
        <v>999</v>
      </c>
      <c r="AN55" s="134">
        <f t="shared" si="68"/>
        <v>0.10204290091930542</v>
      </c>
      <c r="AO55" s="108">
        <v>8925</v>
      </c>
      <c r="AP55" s="108">
        <f t="shared" si="48"/>
        <v>-865</v>
      </c>
      <c r="AQ55" s="131">
        <f t="shared" si="69"/>
        <v>-8.8355464759959146E-2</v>
      </c>
      <c r="AR55" s="130">
        <v>10789</v>
      </c>
      <c r="AS55" s="132">
        <f t="shared" si="49"/>
        <v>999</v>
      </c>
      <c r="AT55" s="131">
        <f t="shared" si="70"/>
        <v>0.10204290091930542</v>
      </c>
      <c r="AU55" s="108">
        <v>8493</v>
      </c>
      <c r="AV55" s="168">
        <v>10789</v>
      </c>
      <c r="AW55" s="168">
        <f t="shared" si="51"/>
        <v>1864</v>
      </c>
      <c r="AX55" s="169">
        <f t="shared" si="52"/>
        <v>0.2088515406162465</v>
      </c>
      <c r="AY55" s="108">
        <v>11105</v>
      </c>
      <c r="AZ55" s="108">
        <f t="shared" si="53"/>
        <v>2180</v>
      </c>
      <c r="BA55" s="131">
        <f t="shared" si="54"/>
        <v>0.24425770308123249</v>
      </c>
      <c r="BB55" s="112">
        <f t="shared" si="55"/>
        <v>-316</v>
      </c>
      <c r="BC55" s="108">
        <v>13699</v>
      </c>
      <c r="BD55" s="108">
        <f t="shared" si="56"/>
        <v>2594</v>
      </c>
      <c r="BE55" s="134">
        <f t="shared" si="73"/>
        <v>0.23358847366051327</v>
      </c>
      <c r="BF55" s="108">
        <v>8307</v>
      </c>
      <c r="BG55" s="108">
        <v>12639</v>
      </c>
      <c r="BH55" s="108">
        <v>7983</v>
      </c>
      <c r="BI55" s="108">
        <v>14515</v>
      </c>
      <c r="BJ55" s="108">
        <v>13115</v>
      </c>
      <c r="BK55" s="108">
        <v>13115</v>
      </c>
      <c r="BL55" s="108">
        <v>12805</v>
      </c>
      <c r="BM55" s="108">
        <v>9583.26</v>
      </c>
      <c r="BN55" s="108">
        <v>12805</v>
      </c>
      <c r="BO55" s="108">
        <v>0</v>
      </c>
      <c r="BP55" s="108">
        <f t="shared" si="57"/>
        <v>-310</v>
      </c>
      <c r="BQ55" s="134">
        <f t="shared" si="74"/>
        <v>-2.3637056805184901E-2</v>
      </c>
      <c r="BR55" s="111">
        <f t="shared" si="58"/>
        <v>-12805</v>
      </c>
      <c r="BS55" s="108">
        <v>13202.39</v>
      </c>
      <c r="BT55" s="108">
        <v>12654</v>
      </c>
      <c r="BU55" s="108">
        <f>10308.62+568.4</f>
        <v>10877.02</v>
      </c>
      <c r="BV55" s="108">
        <v>12906</v>
      </c>
      <c r="BW55" s="108">
        <v>12475</v>
      </c>
      <c r="BX55" s="108">
        <v>10832.22</v>
      </c>
      <c r="BY55" s="108">
        <f t="shared" si="59"/>
        <v>12475</v>
      </c>
      <c r="BZ55" s="108">
        <v>12077.3</v>
      </c>
      <c r="CA55" s="108">
        <v>13046</v>
      </c>
      <c r="CB55" s="108">
        <v>13046</v>
      </c>
      <c r="CC55" s="108">
        <f t="shared" si="75"/>
        <v>13046</v>
      </c>
      <c r="CD55" s="108">
        <v>14032.52</v>
      </c>
      <c r="CE55" s="108">
        <v>12800</v>
      </c>
      <c r="CF55" s="108">
        <v>12800</v>
      </c>
    </row>
    <row r="56" spans="1:86" ht="12.75" customHeight="1" x14ac:dyDescent="0.4">
      <c r="A56" s="124">
        <v>175</v>
      </c>
      <c r="B56" s="124">
        <f t="shared" si="61"/>
        <v>35</v>
      </c>
      <c r="C56" s="127" t="s">
        <v>303</v>
      </c>
      <c r="D56" s="106">
        <v>33451</v>
      </c>
      <c r="E56" s="106">
        <v>32240</v>
      </c>
      <c r="F56" s="128">
        <v>33643</v>
      </c>
      <c r="G56" s="106">
        <v>34105</v>
      </c>
      <c r="H56" s="106">
        <v>35660</v>
      </c>
      <c r="I56" s="129"/>
      <c r="J56" s="130">
        <v>37554</v>
      </c>
      <c r="K56" s="130">
        <v>38840</v>
      </c>
      <c r="L56" s="130">
        <v>36712</v>
      </c>
      <c r="M56" s="130">
        <v>35474</v>
      </c>
      <c r="N56" s="129">
        <f t="shared" si="62"/>
        <v>-1238</v>
      </c>
      <c r="O56" s="138">
        <f t="shared" si="63"/>
        <v>-3.3721943778601E-2</v>
      </c>
      <c r="Q56" s="130">
        <v>38517.760000000002</v>
      </c>
      <c r="R56" s="132">
        <v>36105.21</v>
      </c>
      <c r="S56" s="132">
        <v>35474</v>
      </c>
      <c r="T56" s="130">
        <v>56761</v>
      </c>
      <c r="U56" s="132">
        <f t="shared" si="64"/>
        <v>-631.20999999999913</v>
      </c>
      <c r="V56" s="132">
        <f t="shared" si="65"/>
        <v>-1.6387505400106316E-2</v>
      </c>
      <c r="W56" s="132"/>
      <c r="X56" s="132"/>
      <c r="Y56" s="130">
        <v>83323</v>
      </c>
      <c r="Z56" s="130">
        <v>78157</v>
      </c>
      <c r="AA56" s="130">
        <v>84460</v>
      </c>
      <c r="AB56" s="132">
        <f t="shared" si="40"/>
        <v>26562</v>
      </c>
      <c r="AC56" s="132">
        <f t="shared" si="66"/>
        <v>21287</v>
      </c>
      <c r="AD56" s="131">
        <f t="shared" si="41"/>
        <v>0.46796215711492045</v>
      </c>
      <c r="AE56" s="133">
        <f t="shared" si="42"/>
        <v>21396</v>
      </c>
      <c r="AF56" s="131">
        <f t="shared" si="43"/>
        <v>0.37694896143478795</v>
      </c>
      <c r="AG56" s="133">
        <f t="shared" si="44"/>
        <v>27699</v>
      </c>
      <c r="AH56" s="131">
        <f t="shared" si="45"/>
        <v>0.48799351667518193</v>
      </c>
      <c r="AI56" s="130">
        <v>93512</v>
      </c>
      <c r="AJ56" s="130">
        <v>88512</v>
      </c>
      <c r="AK56" s="130">
        <f t="shared" si="46"/>
        <v>9052</v>
      </c>
      <c r="AL56" s="134">
        <f t="shared" si="67"/>
        <v>0.10717499408003789</v>
      </c>
      <c r="AM56" s="130">
        <f t="shared" si="47"/>
        <v>4052</v>
      </c>
      <c r="AN56" s="134">
        <f t="shared" si="68"/>
        <v>4.7975372957613074E-2</v>
      </c>
      <c r="AO56" s="108">
        <v>91874</v>
      </c>
      <c r="AP56" s="108">
        <f t="shared" si="48"/>
        <v>7414</v>
      </c>
      <c r="AQ56" s="131">
        <f t="shared" si="69"/>
        <v>8.778119820033152E-2</v>
      </c>
      <c r="AR56" s="130">
        <v>93620</v>
      </c>
      <c r="AS56" s="132">
        <f t="shared" si="49"/>
        <v>9160</v>
      </c>
      <c r="AT56" s="131">
        <f t="shared" si="70"/>
        <v>0.10845370589628227</v>
      </c>
      <c r="AU56" s="108">
        <v>108141</v>
      </c>
      <c r="AV56" s="108">
        <f>AY56</f>
        <v>97469</v>
      </c>
      <c r="AW56" s="108">
        <f t="shared" si="51"/>
        <v>5595</v>
      </c>
      <c r="AX56" s="131">
        <f t="shared" si="52"/>
        <v>6.0898622025817965E-2</v>
      </c>
      <c r="AY56" s="108">
        <v>97469</v>
      </c>
      <c r="AZ56" s="108">
        <f t="shared" si="53"/>
        <v>5595</v>
      </c>
      <c r="BA56" s="131">
        <f t="shared" si="54"/>
        <v>6.0898622025817965E-2</v>
      </c>
      <c r="BB56" s="112">
        <f t="shared" si="55"/>
        <v>0</v>
      </c>
      <c r="BC56" s="108">
        <v>106520</v>
      </c>
      <c r="BD56" s="108">
        <f t="shared" si="56"/>
        <v>9051</v>
      </c>
      <c r="BE56" s="134">
        <f t="shared" si="73"/>
        <v>9.2860294042208288E-2</v>
      </c>
      <c r="BF56" s="108">
        <v>98144</v>
      </c>
      <c r="BG56" s="108">
        <v>102909</v>
      </c>
      <c r="BH56" s="108">
        <v>96486</v>
      </c>
      <c r="BI56" s="108">
        <v>104729</v>
      </c>
      <c r="BJ56" s="108">
        <v>102729</v>
      </c>
      <c r="BK56" s="108">
        <v>102729</v>
      </c>
      <c r="BL56" s="108">
        <v>105817</v>
      </c>
      <c r="BM56" s="108">
        <f>98058.5+4408.88</f>
        <v>102467.38</v>
      </c>
      <c r="BN56" s="108">
        <v>96170</v>
      </c>
      <c r="BO56" s="108">
        <v>9647</v>
      </c>
      <c r="BP56" s="108">
        <f t="shared" si="57"/>
        <v>-6559</v>
      </c>
      <c r="BQ56" s="134">
        <f t="shared" si="74"/>
        <v>-6.38475990226713E-2</v>
      </c>
      <c r="BR56" s="111">
        <f t="shared" si="58"/>
        <v>-86523</v>
      </c>
      <c r="BS56" s="108">
        <f>91537.81+4452.38</f>
        <v>95990.19</v>
      </c>
      <c r="BT56" s="108">
        <v>101526</v>
      </c>
      <c r="BU56" s="108">
        <f>85608.92+8524.37</f>
        <v>94133.29</v>
      </c>
      <c r="BV56" s="108">
        <f>118455+12500</f>
        <v>130955</v>
      </c>
      <c r="BW56" s="108">
        <v>136515</v>
      </c>
      <c r="BX56" s="108">
        <v>114034.36</v>
      </c>
      <c r="BY56" s="108">
        <f t="shared" si="59"/>
        <v>136515</v>
      </c>
      <c r="BZ56" s="108">
        <f>147349.82+542.76</f>
        <v>147892.58000000002</v>
      </c>
      <c r="CA56" s="108">
        <v>142690.51999999999</v>
      </c>
      <c r="CB56" s="108">
        <v>146013.14000000001</v>
      </c>
      <c r="CC56" s="108">
        <f t="shared" si="75"/>
        <v>146013.14000000001</v>
      </c>
      <c r="CD56" s="108">
        <f>141150.61+122.74</f>
        <v>141273.34999999998</v>
      </c>
      <c r="CE56" s="108">
        <f>CC56</f>
        <v>146013.14000000001</v>
      </c>
      <c r="CF56" s="108">
        <v>149531.96</v>
      </c>
    </row>
    <row r="57" spans="1:86" ht="12.75" customHeight="1" x14ac:dyDescent="0.4">
      <c r="A57" s="124">
        <v>176</v>
      </c>
      <c r="B57" s="124">
        <f t="shared" si="61"/>
        <v>36</v>
      </c>
      <c r="C57" s="127" t="s">
        <v>304</v>
      </c>
      <c r="D57" s="106">
        <v>3138</v>
      </c>
      <c r="E57" s="106">
        <v>2628</v>
      </c>
      <c r="F57" s="128">
        <v>1581</v>
      </c>
      <c r="G57" s="128">
        <v>4233</v>
      </c>
      <c r="H57" s="128">
        <v>1848</v>
      </c>
      <c r="I57" s="129"/>
      <c r="J57" s="130">
        <v>3271</v>
      </c>
      <c r="K57" s="130">
        <f>J57</f>
        <v>3271</v>
      </c>
      <c r="L57" s="130">
        <v>6027</v>
      </c>
      <c r="M57" s="130">
        <v>3228</v>
      </c>
      <c r="N57" s="129">
        <f t="shared" si="62"/>
        <v>-2799</v>
      </c>
      <c r="O57" s="138">
        <f t="shared" si="63"/>
        <v>-0.46441015430562471</v>
      </c>
      <c r="Q57" s="130">
        <v>3214.6</v>
      </c>
      <c r="R57" s="132">
        <v>3755.28</v>
      </c>
      <c r="S57" s="132">
        <v>3228</v>
      </c>
      <c r="T57" s="130">
        <v>3180</v>
      </c>
      <c r="U57" s="132">
        <f t="shared" si="64"/>
        <v>-527.2800000000002</v>
      </c>
      <c r="V57" s="132">
        <f t="shared" si="65"/>
        <v>-0.16402662850743491</v>
      </c>
      <c r="W57" s="132"/>
      <c r="X57" s="132"/>
      <c r="Y57" s="130">
        <f>T57</f>
        <v>3180</v>
      </c>
      <c r="Z57" s="130">
        <v>3228</v>
      </c>
      <c r="AA57" s="130">
        <v>3170</v>
      </c>
      <c r="AB57" s="132">
        <f t="shared" si="40"/>
        <v>0</v>
      </c>
      <c r="AC57" s="132">
        <f t="shared" si="66"/>
        <v>-48</v>
      </c>
      <c r="AD57" s="131">
        <f t="shared" si="41"/>
        <v>0</v>
      </c>
      <c r="AE57" s="133">
        <f t="shared" si="42"/>
        <v>48</v>
      </c>
      <c r="AF57" s="131">
        <f t="shared" si="43"/>
        <v>1.509433962264151E-2</v>
      </c>
      <c r="AG57" s="133">
        <f t="shared" si="44"/>
        <v>-10</v>
      </c>
      <c r="AH57" s="131">
        <f t="shared" si="45"/>
        <v>-3.1446540880503146E-3</v>
      </c>
      <c r="AI57" s="130">
        <v>3728</v>
      </c>
      <c r="AJ57" s="130">
        <v>3228</v>
      </c>
      <c r="AK57" s="130">
        <f t="shared" si="46"/>
        <v>558</v>
      </c>
      <c r="AL57" s="134">
        <f t="shared" si="67"/>
        <v>0.17602523659305994</v>
      </c>
      <c r="AM57" s="130">
        <f t="shared" si="47"/>
        <v>58</v>
      </c>
      <c r="AN57" s="134">
        <f t="shared" si="68"/>
        <v>1.829652996845426E-2</v>
      </c>
      <c r="AO57" s="108">
        <v>3188</v>
      </c>
      <c r="AP57" s="108">
        <f t="shared" si="48"/>
        <v>18</v>
      </c>
      <c r="AQ57" s="131">
        <f t="shared" si="69"/>
        <v>5.6782334384858045E-3</v>
      </c>
      <c r="AR57" s="130">
        <v>3228</v>
      </c>
      <c r="AS57" s="132">
        <f t="shared" si="49"/>
        <v>58</v>
      </c>
      <c r="AT57" s="131">
        <f t="shared" si="70"/>
        <v>1.829652996845426E-2</v>
      </c>
      <c r="AU57" s="108">
        <v>3228</v>
      </c>
      <c r="AV57" s="108">
        <f>AY57</f>
        <v>2803</v>
      </c>
      <c r="AW57" s="108">
        <f t="shared" si="51"/>
        <v>-385</v>
      </c>
      <c r="AX57" s="131">
        <f t="shared" si="52"/>
        <v>-0.12076537013801757</v>
      </c>
      <c r="AY57" s="108">
        <v>2803</v>
      </c>
      <c r="AZ57" s="108">
        <f t="shared" si="53"/>
        <v>-385</v>
      </c>
      <c r="BA57" s="131">
        <f t="shared" si="54"/>
        <v>-0.12076537013801757</v>
      </c>
      <c r="BB57" s="112">
        <f t="shared" si="55"/>
        <v>0</v>
      </c>
      <c r="BC57" s="108">
        <v>3228</v>
      </c>
      <c r="BD57" s="108">
        <f t="shared" si="56"/>
        <v>425</v>
      </c>
      <c r="BE57" s="134">
        <f t="shared" si="73"/>
        <v>0.15162326079200855</v>
      </c>
      <c r="BF57" s="108">
        <v>1209</v>
      </c>
      <c r="BG57" s="108">
        <v>3328</v>
      </c>
      <c r="BH57" s="108">
        <v>1783</v>
      </c>
      <c r="BI57" s="108">
        <v>3325</v>
      </c>
      <c r="BJ57" s="108">
        <v>3325</v>
      </c>
      <c r="BK57" s="108">
        <v>3325</v>
      </c>
      <c r="BL57" s="108">
        <v>3325</v>
      </c>
      <c r="BM57" s="108">
        <v>1644.39</v>
      </c>
      <c r="BN57" s="108">
        <v>3325</v>
      </c>
      <c r="BO57" s="108">
        <v>0</v>
      </c>
      <c r="BP57" s="108">
        <f t="shared" si="57"/>
        <v>0</v>
      </c>
      <c r="BQ57" s="134">
        <f t="shared" si="74"/>
        <v>0</v>
      </c>
      <c r="BR57" s="111">
        <f t="shared" si="58"/>
        <v>-3325</v>
      </c>
      <c r="BS57" s="108">
        <v>2537.29</v>
      </c>
      <c r="BT57" s="108">
        <v>3275</v>
      </c>
      <c r="BU57" s="108">
        <v>2979.74</v>
      </c>
      <c r="BV57" s="108">
        <v>3275</v>
      </c>
      <c r="BW57" s="108">
        <v>3975</v>
      </c>
      <c r="BX57" s="108">
        <f>2031.27+37.2</f>
        <v>2068.4699999999998</v>
      </c>
      <c r="BY57" s="108">
        <f t="shared" si="59"/>
        <v>3975</v>
      </c>
      <c r="BZ57" s="108">
        <v>2617.64</v>
      </c>
      <c r="CA57" s="108">
        <v>3975</v>
      </c>
      <c r="CB57" s="108">
        <v>3975</v>
      </c>
      <c r="CC57" s="108">
        <f t="shared" si="75"/>
        <v>3975</v>
      </c>
      <c r="CD57" s="108">
        <v>3929.76</v>
      </c>
      <c r="CE57" s="108">
        <f>CC57</f>
        <v>3975</v>
      </c>
      <c r="CF57" s="108">
        <v>3900</v>
      </c>
    </row>
    <row r="58" spans="1:86" ht="12.75" customHeight="1" x14ac:dyDescent="0.4">
      <c r="A58" s="124">
        <v>171</v>
      </c>
      <c r="B58" s="124">
        <f t="shared" si="61"/>
        <v>37</v>
      </c>
      <c r="C58" s="127" t="s">
        <v>305</v>
      </c>
      <c r="D58" s="106">
        <v>15079</v>
      </c>
      <c r="E58" s="106">
        <v>15458</v>
      </c>
      <c r="F58" s="128">
        <v>21026</v>
      </c>
      <c r="G58" s="128">
        <v>26701</v>
      </c>
      <c r="H58" s="128">
        <v>35480</v>
      </c>
      <c r="I58" s="129"/>
      <c r="J58" s="130">
        <v>39142</v>
      </c>
      <c r="K58" s="130">
        <v>45325</v>
      </c>
      <c r="L58" s="130">
        <v>38360</v>
      </c>
      <c r="M58" s="130">
        <v>40364</v>
      </c>
      <c r="N58" s="129">
        <f t="shared" si="62"/>
        <v>2004</v>
      </c>
      <c r="O58" s="138">
        <f t="shared" si="63"/>
        <v>5.2241918665276332E-2</v>
      </c>
      <c r="Q58" s="130">
        <v>37036.550000000003</v>
      </c>
      <c r="R58" s="132">
        <v>30413.52</v>
      </c>
      <c r="S58" s="132">
        <v>40364</v>
      </c>
      <c r="T58" s="130">
        <v>29577</v>
      </c>
      <c r="U58" s="132">
        <f t="shared" si="64"/>
        <v>9950.48</v>
      </c>
      <c r="V58" s="132">
        <f t="shared" si="65"/>
        <v>0.26866649296438244</v>
      </c>
      <c r="W58" s="132"/>
      <c r="X58" s="132"/>
      <c r="Y58" s="130">
        <v>42489</v>
      </c>
      <c r="Z58" s="130">
        <v>41314</v>
      </c>
      <c r="AA58" s="130">
        <v>37484</v>
      </c>
      <c r="AB58" s="132">
        <f t="shared" si="40"/>
        <v>12912</v>
      </c>
      <c r="AC58" s="132">
        <f t="shared" si="66"/>
        <v>-10787</v>
      </c>
      <c r="AD58" s="131">
        <f t="shared" si="41"/>
        <v>0.43655543158535348</v>
      </c>
      <c r="AE58" s="133">
        <f t="shared" si="42"/>
        <v>11737</v>
      </c>
      <c r="AF58" s="131">
        <f t="shared" si="43"/>
        <v>0.39682861683064541</v>
      </c>
      <c r="AG58" s="133">
        <f t="shared" si="44"/>
        <v>7907</v>
      </c>
      <c r="AH58" s="131">
        <f t="shared" si="45"/>
        <v>0.26733610575785238</v>
      </c>
      <c r="AI58" s="130">
        <v>44815</v>
      </c>
      <c r="AJ58" s="130">
        <v>39322</v>
      </c>
      <c r="AK58" s="130">
        <f t="shared" si="46"/>
        <v>7331</v>
      </c>
      <c r="AL58" s="134">
        <f t="shared" si="67"/>
        <v>0.19557677942588839</v>
      </c>
      <c r="AM58" s="130">
        <f t="shared" si="47"/>
        <v>1838</v>
      </c>
      <c r="AN58" s="134">
        <f t="shared" si="68"/>
        <v>4.903425461530253E-2</v>
      </c>
      <c r="AO58" s="108">
        <v>38992</v>
      </c>
      <c r="AP58" s="108">
        <f t="shared" si="48"/>
        <v>1508</v>
      </c>
      <c r="AQ58" s="131">
        <f t="shared" si="69"/>
        <v>4.0230498345960944E-2</v>
      </c>
      <c r="AR58" s="130">
        <v>48010</v>
      </c>
      <c r="AS58" s="132">
        <f t="shared" si="49"/>
        <v>10526</v>
      </c>
      <c r="AT58" s="131">
        <f t="shared" si="70"/>
        <v>0.28081314694269555</v>
      </c>
      <c r="AU58" s="108">
        <v>43831</v>
      </c>
      <c r="AV58" s="108">
        <f>AY58</f>
        <v>40871</v>
      </c>
      <c r="AW58" s="108">
        <f t="shared" si="51"/>
        <v>1879</v>
      </c>
      <c r="AX58" s="131">
        <f t="shared" si="52"/>
        <v>4.8189372178908493E-2</v>
      </c>
      <c r="AY58" s="108">
        <v>40871</v>
      </c>
      <c r="AZ58" s="108">
        <f t="shared" si="53"/>
        <v>1879</v>
      </c>
      <c r="BA58" s="131">
        <f t="shared" si="54"/>
        <v>4.8189372178908493E-2</v>
      </c>
      <c r="BB58" s="112">
        <f t="shared" si="55"/>
        <v>0</v>
      </c>
      <c r="BC58" s="108">
        <v>46861</v>
      </c>
      <c r="BD58" s="108">
        <f t="shared" si="56"/>
        <v>5990</v>
      </c>
      <c r="BE58" s="134">
        <f t="shared" si="73"/>
        <v>0.14655868464192215</v>
      </c>
      <c r="BF58" s="108">
        <v>42175</v>
      </c>
      <c r="BG58" s="108">
        <v>45589</v>
      </c>
      <c r="BH58" s="108">
        <v>44780</v>
      </c>
      <c r="BI58" s="108">
        <v>46508</v>
      </c>
      <c r="BJ58" s="108">
        <v>47008</v>
      </c>
      <c r="BK58" s="108">
        <v>47008</v>
      </c>
      <c r="BL58" s="108">
        <v>47981</v>
      </c>
      <c r="BM58" s="108">
        <f>45153.52+114.5</f>
        <v>45268.02</v>
      </c>
      <c r="BN58" s="108">
        <v>37001</v>
      </c>
      <c r="BO58" s="108">
        <f>1500+7000</f>
        <v>8500</v>
      </c>
      <c r="BP58" s="108">
        <f t="shared" si="57"/>
        <v>-10007</v>
      </c>
      <c r="BQ58" s="134">
        <f t="shared" si="74"/>
        <v>-0.2128786589516678</v>
      </c>
      <c r="BR58" s="111">
        <f t="shared" si="58"/>
        <v>-28501</v>
      </c>
      <c r="BS58" s="108">
        <v>41828.839999999997</v>
      </c>
      <c r="BT58" s="108">
        <v>45401</v>
      </c>
      <c r="BU58" s="108">
        <v>43585.18</v>
      </c>
      <c r="BV58" s="108">
        <v>46644</v>
      </c>
      <c r="BW58" s="108">
        <v>48996</v>
      </c>
      <c r="BX58" s="108">
        <v>45491.48</v>
      </c>
      <c r="BY58" s="108">
        <f t="shared" si="59"/>
        <v>48996</v>
      </c>
      <c r="BZ58" s="108">
        <f>48981.92+128.24</f>
        <v>49110.159999999996</v>
      </c>
      <c r="CA58" s="108">
        <v>49300</v>
      </c>
      <c r="CB58" s="108">
        <v>50320.959999999999</v>
      </c>
      <c r="CC58" s="108">
        <f t="shared" si="75"/>
        <v>50320.959999999999</v>
      </c>
      <c r="CD58" s="108">
        <v>46181.52</v>
      </c>
      <c r="CE58" s="108">
        <f>CC58</f>
        <v>50320.959999999999</v>
      </c>
      <c r="CF58" s="108">
        <v>53202.06</v>
      </c>
    </row>
    <row r="59" spans="1:86" ht="15" x14ac:dyDescent="0.45">
      <c r="A59" s="124"/>
      <c r="B59" s="124"/>
      <c r="C59" s="127"/>
      <c r="D59" s="106"/>
      <c r="E59" s="106"/>
      <c r="F59" s="106"/>
      <c r="G59" s="106"/>
      <c r="H59" s="106"/>
      <c r="I59" s="140"/>
      <c r="J59" s="140"/>
      <c r="K59" s="140"/>
      <c r="L59" s="140"/>
      <c r="M59" s="170"/>
      <c r="N59" s="129"/>
      <c r="O59" s="138"/>
      <c r="T59" s="130"/>
      <c r="U59" s="132"/>
      <c r="V59" s="132"/>
      <c r="W59" s="132"/>
      <c r="X59" s="132"/>
      <c r="Y59" s="132"/>
      <c r="Z59" s="132"/>
      <c r="AA59" s="132"/>
      <c r="AB59" s="132"/>
      <c r="AC59" s="132"/>
      <c r="AS59" s="132"/>
      <c r="AU59" s="108"/>
      <c r="AV59" s="108"/>
      <c r="AW59" s="108"/>
      <c r="AX59" s="108"/>
      <c r="AY59" s="108"/>
      <c r="BA59" s="131"/>
    </row>
    <row r="60" spans="1:86" x14ac:dyDescent="0.4">
      <c r="A60" s="124"/>
      <c r="B60" s="124"/>
      <c r="C60" s="142" t="s">
        <v>306</v>
      </c>
      <c r="D60" s="132">
        <f>SUM(D37:D58)</f>
        <v>441787</v>
      </c>
      <c r="E60" s="132">
        <f>SUM(E37:E58)</f>
        <v>460486</v>
      </c>
      <c r="F60" s="132">
        <f>SUM(F37:F58)</f>
        <v>545162</v>
      </c>
      <c r="G60" s="132">
        <f>SUM(G37:G58)</f>
        <v>616009</v>
      </c>
      <c r="H60" s="132">
        <f>SUM(H37:H58)</f>
        <v>714776</v>
      </c>
      <c r="I60" s="132" t="e">
        <f>#REF!-G60</f>
        <v>#REF!</v>
      </c>
      <c r="J60" s="132">
        <f>SUM(J37:J58)</f>
        <v>803378</v>
      </c>
      <c r="K60" s="132">
        <f>SUM(K37:K58)</f>
        <v>895859</v>
      </c>
      <c r="L60" s="132">
        <f>SUM(L37:L58)</f>
        <v>847183</v>
      </c>
      <c r="M60" s="132">
        <f>SUM(M37:M58)</f>
        <v>844651</v>
      </c>
      <c r="N60" s="130">
        <f>M60-L60</f>
        <v>-2532</v>
      </c>
      <c r="O60" s="131">
        <f>N60/L60</f>
        <v>-2.9887285273665783E-3</v>
      </c>
      <c r="Q60" s="132">
        <f t="shared" ref="Q60:AJ60" si="76">SUM(Q37:Q58)</f>
        <v>929071.8</v>
      </c>
      <c r="R60" s="132">
        <f t="shared" si="76"/>
        <v>929540.7200000002</v>
      </c>
      <c r="S60" s="132">
        <f t="shared" si="76"/>
        <v>936677</v>
      </c>
      <c r="T60" s="130">
        <f t="shared" si="76"/>
        <v>1063841</v>
      </c>
      <c r="U60" s="130">
        <f t="shared" si="76"/>
        <v>7136.2800000000097</v>
      </c>
      <c r="V60" s="130">
        <f t="shared" si="76"/>
        <v>-0.62383861424762843</v>
      </c>
      <c r="W60" s="130">
        <f t="shared" si="76"/>
        <v>0</v>
      </c>
      <c r="X60" s="130">
        <f t="shared" si="76"/>
        <v>0</v>
      </c>
      <c r="Y60" s="130">
        <f t="shared" si="76"/>
        <v>1160503</v>
      </c>
      <c r="Z60" s="130">
        <f t="shared" si="76"/>
        <v>1137487</v>
      </c>
      <c r="AA60" s="130">
        <f t="shared" si="76"/>
        <v>1200502</v>
      </c>
      <c r="AB60" s="130">
        <f t="shared" si="76"/>
        <v>96662</v>
      </c>
      <c r="AC60" s="130">
        <f t="shared" si="76"/>
        <v>126500</v>
      </c>
      <c r="AD60" s="130">
        <f t="shared" si="76"/>
        <v>12.585599527981191</v>
      </c>
      <c r="AE60" s="130">
        <f t="shared" si="76"/>
        <v>73646</v>
      </c>
      <c r="AF60" s="130">
        <f t="shared" si="76"/>
        <v>12.38046548781665</v>
      </c>
      <c r="AG60" s="130">
        <f t="shared" si="76"/>
        <v>136661</v>
      </c>
      <c r="AH60" s="130">
        <f t="shared" si="76"/>
        <v>1.97709751676111</v>
      </c>
      <c r="AI60" s="130">
        <f t="shared" si="76"/>
        <v>1207125</v>
      </c>
      <c r="AJ60" s="130">
        <f t="shared" si="76"/>
        <v>1144252</v>
      </c>
      <c r="AK60" s="130">
        <f>AI60-AA60</f>
        <v>6623</v>
      </c>
      <c r="AL60" s="134">
        <f>AK60/AA60</f>
        <v>5.5168587807433887E-3</v>
      </c>
      <c r="AM60" s="130">
        <f>AJ60-AA60</f>
        <v>-56250</v>
      </c>
      <c r="AN60" s="134">
        <f>AM60/AA60</f>
        <v>-4.6855398824824951E-2</v>
      </c>
      <c r="AO60" s="130">
        <f>SUM(AO37:AO58)</f>
        <v>1194810</v>
      </c>
      <c r="AP60" s="108">
        <f>AO60-AA60</f>
        <v>-5692</v>
      </c>
      <c r="AQ60" s="131">
        <f>AP60/AA60</f>
        <v>-4.741349868638286E-3</v>
      </c>
      <c r="AR60" s="130">
        <f>SUM(AR37:AR58)</f>
        <v>1249347</v>
      </c>
      <c r="AS60" s="132">
        <f>AR60-AA60</f>
        <v>48845</v>
      </c>
      <c r="AT60" s="131">
        <f>AS60/AA60</f>
        <v>4.0687145877307991E-2</v>
      </c>
      <c r="AU60" s="130">
        <f>SUM(AU37:AU58)</f>
        <v>1322094</v>
      </c>
      <c r="AV60" s="130">
        <f>SUM(AV37:AV58)</f>
        <v>1304367</v>
      </c>
      <c r="AW60" s="108">
        <f>AV60-AO60</f>
        <v>109557</v>
      </c>
      <c r="AX60" s="131">
        <f>AW60/AO60</f>
        <v>9.1694076882516892E-2</v>
      </c>
      <c r="AY60" s="130">
        <f>SUM(AY37:AY58)</f>
        <v>1209043</v>
      </c>
      <c r="AZ60" s="108">
        <f>AY60-AO60</f>
        <v>14233</v>
      </c>
      <c r="BA60" s="131">
        <f>AZ60/AO60</f>
        <v>1.1912354265531758E-2</v>
      </c>
      <c r="BB60" s="112">
        <f>+AV60-AY60</f>
        <v>95324</v>
      </c>
      <c r="BC60" s="108">
        <f>SUM(BC37:BC58)</f>
        <v>1187727</v>
      </c>
      <c r="BD60" s="108">
        <f>BC60-AY60</f>
        <v>-21316</v>
      </c>
      <c r="BE60" s="134">
        <f>BD60/AY60</f>
        <v>-1.7630473027013926E-2</v>
      </c>
      <c r="BF60" s="108">
        <f t="shared" ref="BF60:BO60" si="77">SUM(BF37:BF58)</f>
        <v>1181834</v>
      </c>
      <c r="BG60" s="108">
        <f t="shared" si="77"/>
        <v>1271485</v>
      </c>
      <c r="BH60" s="108">
        <f t="shared" si="77"/>
        <v>1124928</v>
      </c>
      <c r="BI60" s="108">
        <f t="shared" si="77"/>
        <v>1256909</v>
      </c>
      <c r="BJ60" s="108">
        <f t="shared" si="77"/>
        <v>1231183</v>
      </c>
      <c r="BK60" s="108">
        <f t="shared" si="77"/>
        <v>1222918.03</v>
      </c>
      <c r="BL60" s="108">
        <f t="shared" si="77"/>
        <v>1269917</v>
      </c>
      <c r="BM60" s="108">
        <f t="shared" si="77"/>
        <v>1183299.26</v>
      </c>
      <c r="BN60" s="108">
        <f t="shared" si="77"/>
        <v>1140605</v>
      </c>
      <c r="BO60" s="108">
        <f t="shared" si="77"/>
        <v>89098</v>
      </c>
      <c r="BP60" s="108">
        <f>BN60-BK60</f>
        <v>-82313.030000000028</v>
      </c>
      <c r="BQ60" s="134">
        <f>BP60/BK60</f>
        <v>-6.7308705882764705E-2</v>
      </c>
      <c r="BS60" s="108">
        <f t="shared" ref="BS60:CF60" si="78">SUM(BS37:BS58)</f>
        <v>1154844.73</v>
      </c>
      <c r="BT60" s="108">
        <f t="shared" si="78"/>
        <v>1153634</v>
      </c>
      <c r="BU60" s="108">
        <f t="shared" si="78"/>
        <v>1177248.2799999998</v>
      </c>
      <c r="BV60" s="108">
        <f t="shared" si="78"/>
        <v>1237183</v>
      </c>
      <c r="BW60" s="108">
        <f t="shared" si="78"/>
        <v>1233661</v>
      </c>
      <c r="BX60" s="108">
        <f t="shared" si="78"/>
        <v>1158128.1499999999</v>
      </c>
      <c r="BY60" s="108">
        <f t="shared" si="78"/>
        <v>1233661</v>
      </c>
      <c r="BZ60" s="108">
        <f t="shared" si="78"/>
        <v>1376723.8900000001</v>
      </c>
      <c r="CA60" s="108">
        <f t="shared" si="78"/>
        <v>1293854.3599999999</v>
      </c>
      <c r="CB60" s="108">
        <f t="shared" si="78"/>
        <v>1308104.98</v>
      </c>
      <c r="CC60" s="108">
        <f t="shared" si="78"/>
        <v>1339374.98</v>
      </c>
      <c r="CD60" s="108">
        <f t="shared" si="78"/>
        <v>1264626.53</v>
      </c>
      <c r="CE60" s="108">
        <f t="shared" si="78"/>
        <v>1336338.98</v>
      </c>
      <c r="CF60" s="108">
        <f t="shared" si="78"/>
        <v>1401119.2499999998</v>
      </c>
    </row>
    <row r="61" spans="1:86" x14ac:dyDescent="0.4">
      <c r="A61" s="124"/>
      <c r="B61" s="124"/>
      <c r="C61" s="142"/>
      <c r="D61" s="132"/>
      <c r="E61" s="132"/>
      <c r="F61" s="132"/>
      <c r="G61" s="132"/>
      <c r="H61" s="132"/>
      <c r="I61" s="132"/>
      <c r="J61" s="132"/>
      <c r="K61" s="132"/>
      <c r="L61" s="132"/>
      <c r="M61" s="132"/>
      <c r="N61" s="129"/>
      <c r="O61" s="131"/>
      <c r="T61" s="130"/>
      <c r="U61" s="132"/>
      <c r="V61" s="132"/>
      <c r="W61" s="132"/>
      <c r="X61" s="132"/>
      <c r="Y61" s="132"/>
      <c r="Z61" s="132"/>
      <c r="AA61" s="132"/>
      <c r="AB61" s="132"/>
      <c r="AC61" s="132"/>
      <c r="AU61" s="108"/>
      <c r="AV61" s="108"/>
      <c r="AW61" s="108"/>
      <c r="AX61" s="108"/>
      <c r="AY61" s="108"/>
    </row>
    <row r="62" spans="1:86" x14ac:dyDescent="0.4">
      <c r="A62" s="124"/>
      <c r="B62" s="124"/>
      <c r="C62" s="125" t="s">
        <v>53</v>
      </c>
      <c r="D62" s="132"/>
      <c r="E62" s="132"/>
      <c r="F62" s="132"/>
      <c r="G62" s="132"/>
      <c r="H62" s="132"/>
      <c r="I62" s="132"/>
      <c r="J62" s="132"/>
      <c r="K62" s="132"/>
      <c r="L62" s="132"/>
      <c r="M62" s="132"/>
      <c r="N62" s="129"/>
      <c r="O62" s="131"/>
      <c r="T62" s="130"/>
      <c r="U62" s="132"/>
      <c r="V62" s="132"/>
      <c r="W62" s="132"/>
      <c r="X62" s="132"/>
      <c r="Y62" s="132"/>
      <c r="Z62" s="132"/>
      <c r="AA62" s="132"/>
      <c r="AB62" s="132"/>
      <c r="AC62" s="132"/>
      <c r="AU62" s="108"/>
      <c r="AV62" s="108"/>
      <c r="AW62" s="108"/>
      <c r="AX62" s="108"/>
      <c r="AY62" s="108"/>
    </row>
    <row r="63" spans="1:86" x14ac:dyDescent="0.4">
      <c r="A63" s="124"/>
      <c r="B63" s="124">
        <f>B58+1</f>
        <v>38</v>
      </c>
      <c r="C63" s="127" t="s">
        <v>53</v>
      </c>
      <c r="D63" s="132"/>
      <c r="E63" s="132"/>
      <c r="F63" s="132">
        <v>0</v>
      </c>
      <c r="G63" s="132">
        <v>0</v>
      </c>
      <c r="H63" s="132">
        <v>0</v>
      </c>
      <c r="I63" s="132"/>
      <c r="J63" s="132">
        <v>0</v>
      </c>
      <c r="K63" s="132"/>
      <c r="L63" s="132">
        <v>127963</v>
      </c>
      <c r="M63" s="132">
        <v>131005</v>
      </c>
      <c r="N63" s="129">
        <f>M63-L63</f>
        <v>3042</v>
      </c>
      <c r="O63" s="138" t="s">
        <v>307</v>
      </c>
      <c r="Q63" s="130">
        <v>134771.98000000001</v>
      </c>
      <c r="R63" s="164">
        <v>184527.35999999999</v>
      </c>
      <c r="S63" s="164">
        <v>56874</v>
      </c>
      <c r="T63" s="130">
        <v>36180</v>
      </c>
      <c r="U63" s="132">
        <f>S63-R63</f>
        <v>-127653.35999999999</v>
      </c>
      <c r="V63" s="132">
        <f>U63/Q63</f>
        <v>-0.94718026699615143</v>
      </c>
      <c r="W63" s="132"/>
      <c r="X63" s="132"/>
      <c r="Y63" s="130">
        <v>56950</v>
      </c>
      <c r="Z63" s="130">
        <v>56950</v>
      </c>
      <c r="AA63" s="130">
        <v>28395</v>
      </c>
      <c r="AB63" s="132">
        <f>Y63-T63</f>
        <v>20770</v>
      </c>
      <c r="AC63" s="132">
        <f>T63-S63</f>
        <v>-20694</v>
      </c>
      <c r="AD63" s="131">
        <f>AB63/T63</f>
        <v>0.57407407407407407</v>
      </c>
      <c r="AE63" s="133">
        <f>Z63-T63</f>
        <v>20770</v>
      </c>
      <c r="AF63" s="131">
        <f>AE63/T63</f>
        <v>0.57407407407407407</v>
      </c>
      <c r="AG63" s="133">
        <f>AA63-T63</f>
        <v>-7785</v>
      </c>
      <c r="AH63" s="131">
        <f>AG63/T63</f>
        <v>-0.21517412935323382</v>
      </c>
      <c r="AI63" s="130">
        <v>64200</v>
      </c>
      <c r="AJ63" s="130">
        <v>64200</v>
      </c>
      <c r="AK63" s="130">
        <f>AI63-AA63</f>
        <v>35805</v>
      </c>
      <c r="AL63" s="134">
        <f>AK63/AA63</f>
        <v>1.2609614368726889</v>
      </c>
      <c r="AM63" s="130">
        <f>AJ63-AA63</f>
        <v>35805</v>
      </c>
      <c r="AN63" s="134">
        <f>AM63/AA63</f>
        <v>1.2609614368726889</v>
      </c>
      <c r="AO63" s="108">
        <v>42364</v>
      </c>
      <c r="AP63" s="108">
        <f>AO63-AA63</f>
        <v>13969</v>
      </c>
      <c r="AQ63" s="131">
        <f>AP63/AA63</f>
        <v>0.49195280859306217</v>
      </c>
      <c r="AR63" s="130">
        <v>64200</v>
      </c>
      <c r="AS63" s="132">
        <f>AR63-AA63</f>
        <v>35805</v>
      </c>
      <c r="AT63" s="131">
        <f>AS63/AA63</f>
        <v>1.2609614368726889</v>
      </c>
      <c r="AU63" s="108">
        <v>64200</v>
      </c>
      <c r="AV63" s="108">
        <f>AY63</f>
        <v>46331</v>
      </c>
      <c r="AW63" s="108">
        <f>AV63-AO63</f>
        <v>3967</v>
      </c>
      <c r="AX63" s="131">
        <f>AW63/AO63</f>
        <v>9.3640827117363795E-2</v>
      </c>
      <c r="AY63" s="108">
        <v>46331</v>
      </c>
      <c r="AZ63" s="108">
        <f>AY63-AO63</f>
        <v>3967</v>
      </c>
      <c r="BA63" s="131">
        <f>AZ63/AO63</f>
        <v>9.3640827117363795E-2</v>
      </c>
      <c r="BB63" s="112">
        <f>+AV63-AY63</f>
        <v>0</v>
      </c>
      <c r="BC63" s="108">
        <v>41612</v>
      </c>
      <c r="BD63" s="108">
        <f>BC63-AY63</f>
        <v>-4719</v>
      </c>
      <c r="BE63" s="134">
        <f>BD63/AY63</f>
        <v>-0.10185405020396711</v>
      </c>
      <c r="BF63" s="108">
        <v>50541</v>
      </c>
      <c r="BG63" s="108">
        <v>41650</v>
      </c>
      <c r="BH63" s="108">
        <v>46836</v>
      </c>
      <c r="BI63" s="108">
        <v>42750</v>
      </c>
      <c r="BJ63" s="108">
        <v>42750</v>
      </c>
      <c r="BK63" s="108">
        <v>42750</v>
      </c>
      <c r="BL63" s="108">
        <v>55250</v>
      </c>
      <c r="BM63" s="108">
        <f>62759.92+1142.9</f>
        <v>63902.82</v>
      </c>
      <c r="BN63" s="108">
        <v>55250</v>
      </c>
      <c r="BO63" s="108">
        <v>0</v>
      </c>
      <c r="BP63" s="108">
        <f>BN63-BK63</f>
        <v>12500</v>
      </c>
      <c r="BQ63" s="134">
        <f>BP63/BK63</f>
        <v>0.29239766081871343</v>
      </c>
      <c r="BR63" s="111">
        <f>BO63-BN63</f>
        <v>-55250</v>
      </c>
      <c r="BS63" s="108">
        <f>50569.41+10680.59</f>
        <v>61250</v>
      </c>
      <c r="BT63" s="108">
        <v>54015</v>
      </c>
      <c r="BU63" s="108">
        <f>36870.87+7249.29</f>
        <v>44120.160000000003</v>
      </c>
      <c r="BV63" s="108">
        <v>52950</v>
      </c>
      <c r="BW63" s="108">
        <v>52950</v>
      </c>
      <c r="BX63" s="108">
        <f>38441.09+11193.11</f>
        <v>49634.2</v>
      </c>
      <c r="BY63" s="108">
        <f>BW63</f>
        <v>52950</v>
      </c>
      <c r="BZ63" s="108">
        <f>45259.22+48.55</f>
        <v>45307.770000000004</v>
      </c>
      <c r="CA63" s="108">
        <v>55303</v>
      </c>
      <c r="CB63" s="108">
        <v>55303</v>
      </c>
      <c r="CC63" s="108">
        <v>55303</v>
      </c>
      <c r="CD63" s="108">
        <f>41016.78+1836.53</f>
        <v>42853.31</v>
      </c>
      <c r="CE63" s="108">
        <f>CC63</f>
        <v>55303</v>
      </c>
      <c r="CF63" s="108">
        <v>55303</v>
      </c>
    </row>
    <row r="64" spans="1:86" x14ac:dyDescent="0.4">
      <c r="A64" s="124"/>
      <c r="B64" s="124"/>
      <c r="C64" s="127"/>
      <c r="D64" s="132"/>
      <c r="E64" s="132"/>
      <c r="F64" s="132"/>
      <c r="G64" s="132"/>
      <c r="H64" s="132"/>
      <c r="I64" s="132"/>
      <c r="J64" s="132"/>
      <c r="K64" s="132"/>
      <c r="L64" s="132"/>
      <c r="M64" s="132"/>
      <c r="N64" s="129"/>
      <c r="O64" s="138"/>
      <c r="R64" s="164"/>
      <c r="S64" s="164"/>
      <c r="T64" s="130"/>
      <c r="U64" s="132"/>
      <c r="V64" s="132"/>
      <c r="W64" s="132"/>
      <c r="X64" s="132"/>
      <c r="Y64" s="132"/>
      <c r="Z64" s="132"/>
      <c r="AA64" s="132"/>
      <c r="AB64" s="132"/>
      <c r="AC64" s="132"/>
      <c r="AU64" s="108"/>
      <c r="AV64" s="108"/>
      <c r="AW64" s="108"/>
      <c r="AX64" s="108"/>
      <c r="AY64" s="108"/>
    </row>
    <row r="65" spans="1:84" x14ac:dyDescent="0.4">
      <c r="A65" s="124"/>
      <c r="B65" s="124"/>
      <c r="C65" s="142" t="s">
        <v>308</v>
      </c>
      <c r="D65" s="132"/>
      <c r="E65" s="132"/>
      <c r="F65" s="132">
        <f>F63</f>
        <v>0</v>
      </c>
      <c r="G65" s="132">
        <f>G63</f>
        <v>0</v>
      </c>
      <c r="H65" s="132">
        <f>H63</f>
        <v>0</v>
      </c>
      <c r="I65" s="132"/>
      <c r="J65" s="132">
        <f>J63</f>
        <v>0</v>
      </c>
      <c r="K65" s="132">
        <f>K63</f>
        <v>0</v>
      </c>
      <c r="L65" s="132">
        <f>L63</f>
        <v>127963</v>
      </c>
      <c r="M65" s="132">
        <f>M63</f>
        <v>131005</v>
      </c>
      <c r="N65" s="129">
        <f>M65-L65</f>
        <v>3042</v>
      </c>
      <c r="O65" s="131">
        <f>N65/L65</f>
        <v>2.3772496737338136E-2</v>
      </c>
      <c r="Q65" s="132">
        <f t="shared" ref="Q65:AJ65" si="79">Q63</f>
        <v>134771.98000000001</v>
      </c>
      <c r="R65" s="164">
        <f t="shared" si="79"/>
        <v>184527.35999999999</v>
      </c>
      <c r="S65" s="164">
        <f t="shared" si="79"/>
        <v>56874</v>
      </c>
      <c r="T65" s="130">
        <f t="shared" si="79"/>
        <v>36180</v>
      </c>
      <c r="U65" s="130">
        <f t="shared" si="79"/>
        <v>-127653.35999999999</v>
      </c>
      <c r="V65" s="130">
        <f t="shared" si="79"/>
        <v>-0.94718026699615143</v>
      </c>
      <c r="W65" s="130">
        <f t="shared" si="79"/>
        <v>0</v>
      </c>
      <c r="X65" s="130">
        <f t="shared" si="79"/>
        <v>0</v>
      </c>
      <c r="Y65" s="130">
        <f t="shared" si="79"/>
        <v>56950</v>
      </c>
      <c r="Z65" s="130">
        <f t="shared" si="79"/>
        <v>56950</v>
      </c>
      <c r="AA65" s="130">
        <f t="shared" si="79"/>
        <v>28395</v>
      </c>
      <c r="AB65" s="130">
        <f t="shared" si="79"/>
        <v>20770</v>
      </c>
      <c r="AC65" s="130">
        <f t="shared" si="79"/>
        <v>-20694</v>
      </c>
      <c r="AD65" s="130">
        <f t="shared" si="79"/>
        <v>0.57407407407407407</v>
      </c>
      <c r="AE65" s="130">
        <f t="shared" si="79"/>
        <v>20770</v>
      </c>
      <c r="AF65" s="130">
        <f t="shared" si="79"/>
        <v>0.57407407407407407</v>
      </c>
      <c r="AG65" s="130">
        <f t="shared" si="79"/>
        <v>-7785</v>
      </c>
      <c r="AH65" s="130">
        <f t="shared" si="79"/>
        <v>-0.21517412935323382</v>
      </c>
      <c r="AI65" s="130">
        <f t="shared" si="79"/>
        <v>64200</v>
      </c>
      <c r="AJ65" s="130">
        <f t="shared" si="79"/>
        <v>64200</v>
      </c>
      <c r="AK65" s="130">
        <f>AI65-AA65</f>
        <v>35805</v>
      </c>
      <c r="AL65" s="134">
        <f>AK65/AA65</f>
        <v>1.2609614368726889</v>
      </c>
      <c r="AM65" s="130">
        <f>AJ65-AA65</f>
        <v>35805</v>
      </c>
      <c r="AN65" s="134">
        <f>AM65/AA65</f>
        <v>1.2609614368726889</v>
      </c>
      <c r="AO65" s="130">
        <f>AO63</f>
        <v>42364</v>
      </c>
      <c r="AP65" s="108">
        <f>AO65-AA65</f>
        <v>13969</v>
      </c>
      <c r="AQ65" s="131">
        <f>AP65/AA65</f>
        <v>0.49195280859306217</v>
      </c>
      <c r="AR65" s="130">
        <f>AR63</f>
        <v>64200</v>
      </c>
      <c r="AS65" s="132">
        <f>AR65-AA65</f>
        <v>35805</v>
      </c>
      <c r="AT65" s="131">
        <f>AS65/AA65</f>
        <v>1.2609614368726889</v>
      </c>
      <c r="AU65" s="130">
        <f>AU63</f>
        <v>64200</v>
      </c>
      <c r="AV65" s="108">
        <f>AY65</f>
        <v>46331</v>
      </c>
      <c r="AW65" s="108">
        <f>AV65-AO65</f>
        <v>3967</v>
      </c>
      <c r="AX65" s="131">
        <f>AW65/AO65</f>
        <v>9.3640827117363795E-2</v>
      </c>
      <c r="AY65" s="130">
        <f>AY63</f>
        <v>46331</v>
      </c>
      <c r="AZ65" s="108">
        <f>AY65-AO65</f>
        <v>3967</v>
      </c>
      <c r="BA65" s="131">
        <f>AZ65/AO65</f>
        <v>9.3640827117363795E-2</v>
      </c>
      <c r="BB65" s="112">
        <f>+AV65-AY65</f>
        <v>0</v>
      </c>
      <c r="BC65" s="130">
        <f>BC63</f>
        <v>41612</v>
      </c>
      <c r="BD65" s="108">
        <f>BC65-AY65</f>
        <v>-4719</v>
      </c>
      <c r="BE65" s="134">
        <f>BD65/AY65</f>
        <v>-0.10185405020396711</v>
      </c>
      <c r="BF65" s="130">
        <f t="shared" ref="BF65:BO65" si="80">BF63</f>
        <v>50541</v>
      </c>
      <c r="BG65" s="130">
        <f t="shared" si="80"/>
        <v>41650</v>
      </c>
      <c r="BH65" s="130">
        <f t="shared" si="80"/>
        <v>46836</v>
      </c>
      <c r="BI65" s="130">
        <f t="shared" si="80"/>
        <v>42750</v>
      </c>
      <c r="BJ65" s="130">
        <f t="shared" si="80"/>
        <v>42750</v>
      </c>
      <c r="BK65" s="130">
        <f t="shared" si="80"/>
        <v>42750</v>
      </c>
      <c r="BL65" s="130">
        <f t="shared" si="80"/>
        <v>55250</v>
      </c>
      <c r="BM65" s="130">
        <f t="shared" si="80"/>
        <v>63902.82</v>
      </c>
      <c r="BN65" s="130">
        <f t="shared" si="80"/>
        <v>55250</v>
      </c>
      <c r="BO65" s="130">
        <f t="shared" si="80"/>
        <v>0</v>
      </c>
      <c r="BP65" s="108">
        <f>BN65-BK65</f>
        <v>12500</v>
      </c>
      <c r="BQ65" s="134">
        <f>BP65/BK65</f>
        <v>0.29239766081871343</v>
      </c>
      <c r="BS65" s="130">
        <f t="shared" ref="BS65:CF65" si="81">BS63</f>
        <v>61250</v>
      </c>
      <c r="BT65" s="130">
        <f t="shared" si="81"/>
        <v>54015</v>
      </c>
      <c r="BU65" s="130">
        <f t="shared" si="81"/>
        <v>44120.160000000003</v>
      </c>
      <c r="BV65" s="130">
        <f t="shared" si="81"/>
        <v>52950</v>
      </c>
      <c r="BW65" s="130">
        <f t="shared" si="81"/>
        <v>52950</v>
      </c>
      <c r="BX65" s="130">
        <f t="shared" si="81"/>
        <v>49634.2</v>
      </c>
      <c r="BY65" s="130">
        <f t="shared" si="81"/>
        <v>52950</v>
      </c>
      <c r="BZ65" s="130">
        <f t="shared" si="81"/>
        <v>45307.770000000004</v>
      </c>
      <c r="CA65" s="130">
        <f t="shared" si="81"/>
        <v>55303</v>
      </c>
      <c r="CB65" s="130">
        <f t="shared" si="81"/>
        <v>55303</v>
      </c>
      <c r="CC65" s="130">
        <f t="shared" si="81"/>
        <v>55303</v>
      </c>
      <c r="CD65" s="130">
        <f t="shared" si="81"/>
        <v>42853.31</v>
      </c>
      <c r="CE65" s="130">
        <f t="shared" si="81"/>
        <v>55303</v>
      </c>
      <c r="CF65" s="130">
        <f t="shared" si="81"/>
        <v>55303</v>
      </c>
    </row>
    <row r="66" spans="1:84" x14ac:dyDescent="0.4">
      <c r="A66" s="124" t="s">
        <v>134</v>
      </c>
      <c r="B66" s="124"/>
      <c r="C66" s="110"/>
      <c r="D66" s="106"/>
      <c r="E66" s="106"/>
      <c r="F66" s="132"/>
      <c r="G66" s="112"/>
      <c r="H66" s="112"/>
      <c r="I66" s="140"/>
      <c r="N66" s="129"/>
      <c r="R66" s="164"/>
      <c r="S66" s="164"/>
      <c r="T66" s="130"/>
      <c r="U66" s="132"/>
      <c r="V66" s="132"/>
      <c r="W66" s="132"/>
      <c r="X66" s="132"/>
      <c r="Y66" s="132"/>
      <c r="Z66" s="132"/>
      <c r="AA66" s="132"/>
      <c r="AB66" s="132"/>
      <c r="AC66" s="132"/>
      <c r="AU66" s="108"/>
      <c r="AV66" s="108"/>
      <c r="AW66" s="108"/>
      <c r="AX66" s="108"/>
      <c r="AY66" s="108"/>
    </row>
    <row r="67" spans="1:84" x14ac:dyDescent="0.4">
      <c r="A67" s="124" t="s">
        <v>134</v>
      </c>
      <c r="B67" s="124"/>
      <c r="C67" s="110" t="s">
        <v>54</v>
      </c>
      <c r="D67" s="144"/>
      <c r="E67" s="144"/>
      <c r="F67" s="145"/>
      <c r="G67" s="171"/>
      <c r="H67" s="171"/>
      <c r="I67" s="172"/>
      <c r="J67" s="126"/>
      <c r="K67" s="126"/>
      <c r="L67" s="126"/>
      <c r="M67" s="126"/>
      <c r="N67" s="146"/>
      <c r="O67" s="126"/>
      <c r="P67" s="126"/>
      <c r="Q67" s="126"/>
      <c r="R67" s="150"/>
      <c r="S67" s="150"/>
      <c r="T67" s="147"/>
      <c r="U67" s="150"/>
      <c r="V67" s="150"/>
      <c r="W67" s="150"/>
      <c r="X67" s="150"/>
      <c r="Y67" s="150"/>
      <c r="Z67" s="150"/>
      <c r="AA67" s="150"/>
      <c r="AB67" s="150"/>
      <c r="AC67" s="150"/>
      <c r="AD67" s="126"/>
      <c r="AE67" s="126"/>
      <c r="AF67" s="126"/>
      <c r="AG67" s="126"/>
      <c r="AH67" s="126"/>
      <c r="AI67" s="126"/>
      <c r="AJ67" s="126"/>
      <c r="AK67" s="126"/>
      <c r="AL67" s="126"/>
      <c r="AM67" s="126"/>
      <c r="AN67" s="126"/>
      <c r="AO67" s="126"/>
      <c r="AP67" s="173"/>
      <c r="AQ67" s="173"/>
      <c r="AU67" s="108"/>
      <c r="AV67" s="108"/>
      <c r="AW67" s="108"/>
      <c r="AX67" s="108"/>
      <c r="AY67" s="108"/>
      <c r="AZ67" s="173"/>
      <c r="BA67" s="173"/>
    </row>
    <row r="68" spans="1:84" s="141" customFormat="1" x14ac:dyDescent="0.4">
      <c r="A68" s="124">
        <v>210</v>
      </c>
      <c r="B68" s="124">
        <f>B63+1</f>
        <v>39</v>
      </c>
      <c r="C68" s="110" t="s">
        <v>309</v>
      </c>
      <c r="D68" s="155">
        <v>584783</v>
      </c>
      <c r="E68" s="155">
        <v>649905</v>
      </c>
      <c r="F68" s="155">
        <v>713341</v>
      </c>
      <c r="G68" s="155">
        <v>792975</v>
      </c>
      <c r="H68" s="155">
        <v>795296</v>
      </c>
      <c r="I68" s="156"/>
      <c r="J68" s="157">
        <v>843131</v>
      </c>
      <c r="K68" s="157">
        <v>921003</v>
      </c>
      <c r="L68" s="157">
        <v>869950</v>
      </c>
      <c r="M68" s="157">
        <v>845308</v>
      </c>
      <c r="N68" s="156">
        <f>M68-L68</f>
        <v>-24642</v>
      </c>
      <c r="O68" s="158">
        <f>N68/L68</f>
        <v>-2.8325765848611989E-2</v>
      </c>
      <c r="P68" s="174"/>
      <c r="Q68" s="157">
        <v>854121.56</v>
      </c>
      <c r="R68" s="160">
        <v>917925.74</v>
      </c>
      <c r="S68" s="160">
        <v>909762</v>
      </c>
      <c r="T68" s="157">
        <v>1014251</v>
      </c>
      <c r="U68" s="160">
        <f>S68-R68</f>
        <v>-8163.7399999999907</v>
      </c>
      <c r="V68" s="160">
        <f>U68/M68</f>
        <v>-9.6577105623039065E-3</v>
      </c>
      <c r="W68" s="160"/>
      <c r="X68" s="160"/>
      <c r="Y68" s="157">
        <v>1267881</v>
      </c>
      <c r="Z68" s="157">
        <v>1203581</v>
      </c>
      <c r="AA68" s="157">
        <v>1128518</v>
      </c>
      <c r="AB68" s="160">
        <f>Y68-T68</f>
        <v>253630</v>
      </c>
      <c r="AC68" s="160">
        <f>T68-S68</f>
        <v>104489</v>
      </c>
      <c r="AD68" s="161">
        <f>AB68/T68</f>
        <v>0.25006630508621636</v>
      </c>
      <c r="AE68" s="162">
        <f>Z68-T68</f>
        <v>189330</v>
      </c>
      <c r="AF68" s="161">
        <f>AE68/T68</f>
        <v>0.18666976912026709</v>
      </c>
      <c r="AG68" s="162">
        <f>AA68-T68</f>
        <v>114267</v>
      </c>
      <c r="AH68" s="161">
        <f>AG68/T68</f>
        <v>0.11266146151199259</v>
      </c>
      <c r="AI68" s="157">
        <v>1291501</v>
      </c>
      <c r="AJ68" s="157">
        <v>1179501</v>
      </c>
      <c r="AK68" s="157">
        <f>AI68-AA68</f>
        <v>162983</v>
      </c>
      <c r="AL68" s="163">
        <f>AK68/AA68</f>
        <v>0.1444221536563883</v>
      </c>
      <c r="AM68" s="157">
        <f>AJ68-AA68</f>
        <v>50983</v>
      </c>
      <c r="AN68" s="163">
        <f>AM68/AA68</f>
        <v>4.5176948883402832E-2</v>
      </c>
      <c r="AO68" s="136">
        <v>1214188</v>
      </c>
      <c r="AP68" s="108">
        <f>AO68-AA68</f>
        <v>85670</v>
      </c>
      <c r="AQ68" s="131">
        <f>AP68/AA68</f>
        <v>7.5913720472336285E-2</v>
      </c>
      <c r="AR68" s="130">
        <v>1382296</v>
      </c>
      <c r="AS68" s="132">
        <f>AR68-AA68</f>
        <v>253778</v>
      </c>
      <c r="AT68" s="131">
        <f>AS68/AA68</f>
        <v>0.22487722836498841</v>
      </c>
      <c r="AU68" s="108">
        <v>1257703</v>
      </c>
      <c r="AV68" s="108">
        <f>AY68</f>
        <v>1234923</v>
      </c>
      <c r="AW68" s="108">
        <f>AV68-AO68</f>
        <v>20735</v>
      </c>
      <c r="AX68" s="131">
        <f>AW68/AO68</f>
        <v>1.7077256569822796E-2</v>
      </c>
      <c r="AY68" s="108">
        <v>1234923</v>
      </c>
      <c r="AZ68" s="108">
        <f>AY68-AO68</f>
        <v>20735</v>
      </c>
      <c r="BA68" s="131">
        <f>AZ68/AO68</f>
        <v>1.7077256569822796E-2</v>
      </c>
      <c r="BB68" s="112">
        <f>+AV68-AY68</f>
        <v>0</v>
      </c>
      <c r="BC68" s="108">
        <v>1254162</v>
      </c>
      <c r="BD68" s="108">
        <f>BC68-AY68</f>
        <v>19239</v>
      </c>
      <c r="BE68" s="134">
        <f>BD68/AY68</f>
        <v>1.5579108980883829E-2</v>
      </c>
      <c r="BF68" s="108">
        <v>1215166</v>
      </c>
      <c r="BG68" s="108">
        <v>1227697</v>
      </c>
      <c r="BH68" s="108">
        <v>1225071</v>
      </c>
      <c r="BI68" s="108">
        <v>1379237</v>
      </c>
      <c r="BJ68" s="108">
        <f>1306013-6114</f>
        <v>1299899</v>
      </c>
      <c r="BK68" s="108">
        <f>1306013-6114+24593</f>
        <v>1324492</v>
      </c>
      <c r="BL68" s="108">
        <v>1331960</v>
      </c>
      <c r="BM68" s="108">
        <v>1335086.56</v>
      </c>
      <c r="BN68" s="108">
        <f>1287764+22976</f>
        <v>1310740</v>
      </c>
      <c r="BO68" s="108">
        <v>31554</v>
      </c>
      <c r="BP68" s="108">
        <f>BN68-BK68</f>
        <v>-13752</v>
      </c>
      <c r="BQ68" s="134">
        <f>BP68/BK68</f>
        <v>-1.0382848669527638E-2</v>
      </c>
      <c r="BR68" s="111">
        <f>BO68-BN68</f>
        <v>-1279186</v>
      </c>
      <c r="BS68" s="108">
        <v>1312356.56</v>
      </c>
      <c r="BT68" s="108">
        <v>1227995</v>
      </c>
      <c r="BU68" s="108">
        <f>1258737.96+38.2</f>
        <v>1258776.1599999999</v>
      </c>
      <c r="BV68" s="108">
        <v>1267069</v>
      </c>
      <c r="BW68" s="108">
        <f>1326982+26000</f>
        <v>1352982</v>
      </c>
      <c r="BX68" s="108">
        <v>1267389.8899999999</v>
      </c>
      <c r="BY68" s="108">
        <v>1326982</v>
      </c>
      <c r="BZ68" s="108">
        <v>1363555.82</v>
      </c>
      <c r="CA68" s="108">
        <f>1352893+47778</f>
        <v>1400671</v>
      </c>
      <c r="CB68" s="108">
        <v>1466780.75</v>
      </c>
      <c r="CC68" s="108">
        <f>1466780.75+228117</f>
        <v>1694897.75</v>
      </c>
      <c r="CD68" s="108">
        <v>1417828.67</v>
      </c>
      <c r="CE68" s="108">
        <v>1543198.75</v>
      </c>
      <c r="CF68" s="108">
        <v>1659229.47</v>
      </c>
    </row>
    <row r="69" spans="1:84" s="141" customFormat="1" x14ac:dyDescent="0.4">
      <c r="A69" s="124">
        <v>213</v>
      </c>
      <c r="B69" s="124">
        <f>B68+1</f>
        <v>40</v>
      </c>
      <c r="C69" s="110" t="s">
        <v>310</v>
      </c>
      <c r="D69" s="144">
        <v>13768</v>
      </c>
      <c r="E69" s="144">
        <v>18955</v>
      </c>
      <c r="F69" s="145">
        <v>19000</v>
      </c>
      <c r="G69" s="144">
        <v>18412</v>
      </c>
      <c r="H69" s="144">
        <v>20251</v>
      </c>
      <c r="I69" s="146"/>
      <c r="J69" s="147">
        <v>16969</v>
      </c>
      <c r="K69" s="147">
        <v>22300</v>
      </c>
      <c r="L69" s="147">
        <v>23170</v>
      </c>
      <c r="M69" s="147">
        <v>19800</v>
      </c>
      <c r="N69" s="146">
        <f>M69-L69</f>
        <v>-3370</v>
      </c>
      <c r="O69" s="148">
        <f>N69/L69</f>
        <v>-0.14544669831678894</v>
      </c>
      <c r="P69" s="149"/>
      <c r="Q69" s="147">
        <v>13107.18</v>
      </c>
      <c r="R69" s="150">
        <v>20281.189999999999</v>
      </c>
      <c r="S69" s="150">
        <v>19800</v>
      </c>
      <c r="T69" s="147">
        <v>34273</v>
      </c>
      <c r="U69" s="150">
        <f>S69-R69</f>
        <v>-481.18999999999869</v>
      </c>
      <c r="V69" s="150">
        <f>U69/M69</f>
        <v>-2.4302525252525187E-2</v>
      </c>
      <c r="W69" s="150"/>
      <c r="X69" s="150"/>
      <c r="Y69" s="147">
        <v>31200</v>
      </c>
      <c r="Z69" s="147">
        <v>31200</v>
      </c>
      <c r="AA69" s="147">
        <v>37730</v>
      </c>
      <c r="AB69" s="150">
        <f>Y69-T69</f>
        <v>-3073</v>
      </c>
      <c r="AC69" s="150">
        <f>T69-S69</f>
        <v>14473</v>
      </c>
      <c r="AD69" s="151">
        <f>AB69/T69</f>
        <v>-8.9662416479444465E-2</v>
      </c>
      <c r="AE69" s="152">
        <f>Z69-T69</f>
        <v>-3073</v>
      </c>
      <c r="AF69" s="151">
        <f>AE69/T69</f>
        <v>-8.9662416479444465E-2</v>
      </c>
      <c r="AG69" s="152">
        <f>AA69-T69</f>
        <v>3457</v>
      </c>
      <c r="AH69" s="151">
        <f>AG69/T69</f>
        <v>0.1008665713535436</v>
      </c>
      <c r="AI69" s="147">
        <v>32450</v>
      </c>
      <c r="AJ69" s="147">
        <v>28500</v>
      </c>
      <c r="AK69" s="147">
        <f>AI69-AA69</f>
        <v>-5280</v>
      </c>
      <c r="AL69" s="153">
        <f>AK69/AA69</f>
        <v>-0.13994169096209913</v>
      </c>
      <c r="AM69" s="147">
        <f>AJ69-AA69</f>
        <v>-9230</v>
      </c>
      <c r="AN69" s="153">
        <f>AM69/AA69</f>
        <v>-0.24463291810230586</v>
      </c>
      <c r="AO69" s="136">
        <v>37854</v>
      </c>
      <c r="AP69" s="108">
        <f>AO69-AA69</f>
        <v>124</v>
      </c>
      <c r="AQ69" s="131">
        <f>AP69/AA69</f>
        <v>3.2865094089583884E-3</v>
      </c>
      <c r="AR69" s="130">
        <v>32450</v>
      </c>
      <c r="AS69" s="132">
        <f>AR69-AA69</f>
        <v>-5280</v>
      </c>
      <c r="AT69" s="131">
        <f>AS69/AA69</f>
        <v>-0.13994169096209913</v>
      </c>
      <c r="AU69" s="108">
        <v>44400</v>
      </c>
      <c r="AV69" s="108">
        <f>AY69</f>
        <v>50195</v>
      </c>
      <c r="AW69" s="108">
        <f>AV69-AO69</f>
        <v>12341</v>
      </c>
      <c r="AX69" s="131">
        <f>AW69/AO69</f>
        <v>0.32601574470333389</v>
      </c>
      <c r="AY69" s="108">
        <v>50195</v>
      </c>
      <c r="AZ69" s="108">
        <f>AY69-AO69</f>
        <v>12341</v>
      </c>
      <c r="BA69" s="131">
        <f>AZ69/AO69</f>
        <v>0.32601574470333389</v>
      </c>
      <c r="BB69" s="112">
        <f>+AV69-AY69</f>
        <v>0</v>
      </c>
      <c r="BC69" s="108">
        <v>44400</v>
      </c>
      <c r="BD69" s="108">
        <f>BC69-AY69</f>
        <v>-5795</v>
      </c>
      <c r="BE69" s="134">
        <f>BD69/AY69</f>
        <v>-0.11544974599063652</v>
      </c>
      <c r="BF69" s="108">
        <v>38579</v>
      </c>
      <c r="BG69" s="108">
        <v>48200</v>
      </c>
      <c r="BH69" s="108">
        <v>63531</v>
      </c>
      <c r="BI69" s="108">
        <v>48200</v>
      </c>
      <c r="BJ69" s="108">
        <v>48200</v>
      </c>
      <c r="BK69" s="108">
        <v>48200</v>
      </c>
      <c r="BL69" s="108">
        <v>48600</v>
      </c>
      <c r="BM69" s="108">
        <v>50935.05</v>
      </c>
      <c r="BN69" s="108">
        <v>48600</v>
      </c>
      <c r="BO69" s="108">
        <v>0</v>
      </c>
      <c r="BP69" s="108">
        <f>BN69-BK69</f>
        <v>400</v>
      </c>
      <c r="BQ69" s="134">
        <f>BP69/BK69</f>
        <v>8.2987551867219917E-3</v>
      </c>
      <c r="BR69" s="111">
        <f>BO69-BN69</f>
        <v>-48600</v>
      </c>
      <c r="BS69" s="108">
        <v>71203.12</v>
      </c>
      <c r="BT69" s="108">
        <v>52850</v>
      </c>
      <c r="BU69" s="108">
        <v>57033.09</v>
      </c>
      <c r="BV69" s="108">
        <v>53907</v>
      </c>
      <c r="BW69" s="108">
        <f>65000+10000</f>
        <v>75000</v>
      </c>
      <c r="BX69" s="108">
        <v>82107.399999999994</v>
      </c>
      <c r="BY69" s="108">
        <f>BW69</f>
        <v>75000</v>
      </c>
      <c r="BZ69" s="108">
        <v>64306.53</v>
      </c>
      <c r="CA69" s="108">
        <v>78600</v>
      </c>
      <c r="CB69" s="108">
        <v>80060</v>
      </c>
      <c r="CC69" s="108">
        <f t="shared" ref="CC69:CC71" si="82">CB69</f>
        <v>80060</v>
      </c>
      <c r="CD69" s="108">
        <v>60586.11</v>
      </c>
      <c r="CE69" s="108">
        <f>CC69</f>
        <v>80060</v>
      </c>
      <c r="CF69" s="108">
        <v>80060</v>
      </c>
    </row>
    <row r="70" spans="1:84" s="141" customFormat="1" x14ac:dyDescent="0.4">
      <c r="A70" s="124">
        <v>214</v>
      </c>
      <c r="B70" s="124">
        <f>B69+1</f>
        <v>41</v>
      </c>
      <c r="C70" s="110" t="s">
        <v>311</v>
      </c>
      <c r="D70" s="106">
        <v>124</v>
      </c>
      <c r="E70" s="106">
        <v>0</v>
      </c>
      <c r="F70" s="128">
        <v>35966</v>
      </c>
      <c r="G70" s="106">
        <v>6795</v>
      </c>
      <c r="H70" s="106">
        <v>10154</v>
      </c>
      <c r="I70" s="129"/>
      <c r="J70" s="130">
        <v>51520</v>
      </c>
      <c r="K70" s="130">
        <f>J70</f>
        <v>51520</v>
      </c>
      <c r="L70" s="130">
        <v>35974</v>
      </c>
      <c r="M70" s="130">
        <v>2500</v>
      </c>
      <c r="N70" s="129">
        <f>M70-L70</f>
        <v>-33474</v>
      </c>
      <c r="O70" s="138">
        <f>N70/L70</f>
        <v>-0.93050536498582315</v>
      </c>
      <c r="Q70" s="130">
        <v>1309.3399999999999</v>
      </c>
      <c r="R70" s="164">
        <v>23548.68</v>
      </c>
      <c r="S70" s="164">
        <v>2500</v>
      </c>
      <c r="T70" s="130">
        <v>32351</v>
      </c>
      <c r="U70" s="132">
        <f>S70-R70</f>
        <v>-21048.68</v>
      </c>
      <c r="V70" s="132">
        <f>U70/M70</f>
        <v>-8.4194720000000007</v>
      </c>
      <c r="W70" s="132"/>
      <c r="X70" s="132"/>
      <c r="Y70" s="130">
        <v>2500</v>
      </c>
      <c r="Z70" s="130">
        <v>2500</v>
      </c>
      <c r="AA70" s="130">
        <v>17202</v>
      </c>
      <c r="AB70" s="132">
        <f>Y70-T70</f>
        <v>-29851</v>
      </c>
      <c r="AC70" s="132">
        <f>T70-S70</f>
        <v>29851</v>
      </c>
      <c r="AD70" s="131">
        <f>AB70/T70</f>
        <v>-0.92272263608543781</v>
      </c>
      <c r="AE70" s="133">
        <f>Z70-T70</f>
        <v>-29851</v>
      </c>
      <c r="AF70" s="131">
        <f>AE70/T70</f>
        <v>-0.92272263608543781</v>
      </c>
      <c r="AG70" s="133">
        <f>AA70-T70</f>
        <v>-15149</v>
      </c>
      <c r="AH70" s="131">
        <f>AG70/T70</f>
        <v>-0.46826991437668081</v>
      </c>
      <c r="AI70" s="130">
        <v>2500</v>
      </c>
      <c r="AJ70" s="130">
        <v>2500</v>
      </c>
      <c r="AK70" s="130">
        <f>AI70-AA70</f>
        <v>-14702</v>
      </c>
      <c r="AL70" s="134">
        <f>AK70/AA70</f>
        <v>-0.85466806185327282</v>
      </c>
      <c r="AM70" s="130">
        <f>AJ70-AA70</f>
        <v>-14702</v>
      </c>
      <c r="AN70" s="134">
        <f>AM70/AA70</f>
        <v>-0.85466806185327282</v>
      </c>
      <c r="AO70" s="136">
        <v>10255</v>
      </c>
      <c r="AP70" s="108">
        <f>AO70-AA70</f>
        <v>-6947</v>
      </c>
      <c r="AQ70" s="131">
        <f>AP70/AA70</f>
        <v>-0.40384838972212533</v>
      </c>
      <c r="AR70" s="130">
        <v>2500</v>
      </c>
      <c r="AS70" s="132">
        <f>AR70-AA70</f>
        <v>-14702</v>
      </c>
      <c r="AT70" s="131">
        <f>AS70/AA70</f>
        <v>-0.85466806185327282</v>
      </c>
      <c r="AU70" s="108">
        <v>2500</v>
      </c>
      <c r="AV70" s="108">
        <f>AY70</f>
        <v>1130</v>
      </c>
      <c r="AW70" s="108">
        <f>AV70-AO70</f>
        <v>-9125</v>
      </c>
      <c r="AX70" s="131">
        <f>AW70/AO70</f>
        <v>-0.88980984885421743</v>
      </c>
      <c r="AY70" s="108">
        <v>1130</v>
      </c>
      <c r="AZ70" s="108">
        <f>AY70-AO70</f>
        <v>-9125</v>
      </c>
      <c r="BA70" s="131">
        <f>AZ70/AO70</f>
        <v>-0.88980984885421743</v>
      </c>
      <c r="BB70" s="112">
        <f>+AV70-AY70</f>
        <v>0</v>
      </c>
      <c r="BC70" s="108">
        <v>7500</v>
      </c>
      <c r="BD70" s="108">
        <f>BC70-AY70</f>
        <v>6370</v>
      </c>
      <c r="BE70" s="134">
        <f>BD70/AY70</f>
        <v>5.6371681415929205</v>
      </c>
      <c r="BF70" s="108">
        <v>63775</v>
      </c>
      <c r="BG70" s="108">
        <v>5000</v>
      </c>
      <c r="BH70" s="108">
        <v>38263</v>
      </c>
      <c r="BI70" s="108">
        <v>5000</v>
      </c>
      <c r="BJ70" s="108">
        <v>5000</v>
      </c>
      <c r="BK70" s="108">
        <v>5000</v>
      </c>
      <c r="BL70" s="108">
        <v>5000</v>
      </c>
      <c r="BM70" s="108">
        <v>1191.03</v>
      </c>
      <c r="BN70" s="108">
        <v>5000</v>
      </c>
      <c r="BO70" s="108">
        <v>0</v>
      </c>
      <c r="BP70" s="108">
        <f>BN70-BK70</f>
        <v>0</v>
      </c>
      <c r="BQ70" s="134">
        <f>BP70/BK70</f>
        <v>0</v>
      </c>
      <c r="BR70" s="111">
        <f>BO70-BN70</f>
        <v>-5000</v>
      </c>
      <c r="BS70" s="108">
        <v>46072.37</v>
      </c>
      <c r="BT70" s="108">
        <v>5250</v>
      </c>
      <c r="BU70" s="108">
        <v>18656.12</v>
      </c>
      <c r="BV70" s="108">
        <v>5000</v>
      </c>
      <c r="BW70" s="108">
        <v>5000</v>
      </c>
      <c r="BX70" s="108">
        <v>11576.26</v>
      </c>
      <c r="BY70" s="108">
        <f>BW70</f>
        <v>5000</v>
      </c>
      <c r="BZ70" s="108">
        <v>3429.49</v>
      </c>
      <c r="CA70" s="108">
        <v>5513</v>
      </c>
      <c r="CB70" s="108">
        <v>5623</v>
      </c>
      <c r="CC70" s="108">
        <f t="shared" si="82"/>
        <v>5623</v>
      </c>
      <c r="CD70" s="108">
        <v>325.83</v>
      </c>
      <c r="CE70" s="108">
        <f>CC70</f>
        <v>5623</v>
      </c>
      <c r="CF70" s="108">
        <v>4000</v>
      </c>
    </row>
    <row r="71" spans="1:84" s="141" customFormat="1" ht="12.75" customHeight="1" x14ac:dyDescent="0.4">
      <c r="A71" s="124">
        <v>524</v>
      </c>
      <c r="B71" s="124">
        <f>B70+1</f>
        <v>42</v>
      </c>
      <c r="C71" s="110" t="s">
        <v>312</v>
      </c>
      <c r="D71" s="106">
        <v>267</v>
      </c>
      <c r="E71" s="106">
        <v>155</v>
      </c>
      <c r="F71" s="128">
        <v>11216</v>
      </c>
      <c r="G71" s="106">
        <v>1135</v>
      </c>
      <c r="H71" s="106">
        <v>2720</v>
      </c>
      <c r="I71" s="129"/>
      <c r="J71" s="130">
        <v>3426</v>
      </c>
      <c r="K71" s="130">
        <f>J71</f>
        <v>3426</v>
      </c>
      <c r="L71" s="130">
        <v>6020</v>
      </c>
      <c r="M71" s="130">
        <v>2000</v>
      </c>
      <c r="N71" s="129">
        <f>M71-L71</f>
        <v>-4020</v>
      </c>
      <c r="O71" s="138">
        <f>N71/L71</f>
        <v>-0.66777408637873759</v>
      </c>
      <c r="Q71" s="130">
        <v>1402.99</v>
      </c>
      <c r="R71" s="164">
        <v>2061</v>
      </c>
      <c r="S71" s="164">
        <v>2000</v>
      </c>
      <c r="T71" s="130">
        <v>2073</v>
      </c>
      <c r="U71" s="132">
        <f>S71-R71</f>
        <v>-61</v>
      </c>
      <c r="V71" s="132">
        <f>U71/M71</f>
        <v>-3.0499999999999999E-2</v>
      </c>
      <c r="W71" s="132"/>
      <c r="X71" s="132"/>
      <c r="Y71" s="130">
        <f>T71</f>
        <v>2073</v>
      </c>
      <c r="Z71" s="130">
        <v>2000</v>
      </c>
      <c r="AA71" s="130">
        <v>70</v>
      </c>
      <c r="AB71" s="132">
        <f>Y71-T71</f>
        <v>0</v>
      </c>
      <c r="AC71" s="132">
        <f>T71-S71</f>
        <v>73</v>
      </c>
      <c r="AD71" s="131">
        <f>AB71/T71</f>
        <v>0</v>
      </c>
      <c r="AE71" s="133">
        <f>Z71-T71</f>
        <v>-73</v>
      </c>
      <c r="AF71" s="131">
        <f>AE71/T71</f>
        <v>-3.5214664737095995E-2</v>
      </c>
      <c r="AG71" s="133">
        <f>AA71-T71</f>
        <v>-2003</v>
      </c>
      <c r="AH71" s="131">
        <f>AG71/T71</f>
        <v>-0.9662325132657984</v>
      </c>
      <c r="AI71" s="130">
        <v>2000</v>
      </c>
      <c r="AJ71" s="130">
        <v>2000</v>
      </c>
      <c r="AK71" s="130">
        <f>AI71-AA71</f>
        <v>1930</v>
      </c>
      <c r="AL71" s="134">
        <f>AK71/AA71</f>
        <v>27.571428571428573</v>
      </c>
      <c r="AM71" s="130">
        <f>AJ71-AA71</f>
        <v>1930</v>
      </c>
      <c r="AN71" s="134">
        <f>AM71/AA71</f>
        <v>27.571428571428573</v>
      </c>
      <c r="AO71" s="136">
        <v>620</v>
      </c>
      <c r="AP71" s="108">
        <f>AO71-AA71</f>
        <v>550</v>
      </c>
      <c r="AQ71" s="131">
        <f>AP71/AA71</f>
        <v>7.8571428571428568</v>
      </c>
      <c r="AR71" s="130">
        <v>2000</v>
      </c>
      <c r="AS71" s="132">
        <f>AR71-AA71</f>
        <v>1930</v>
      </c>
      <c r="AT71" s="131">
        <f>AS71/AA71</f>
        <v>27.571428571428573</v>
      </c>
      <c r="AU71" s="108">
        <v>2000</v>
      </c>
      <c r="AV71" s="108">
        <f>AY71</f>
        <v>303</v>
      </c>
      <c r="AW71" s="108">
        <f>AV71-AO71</f>
        <v>-317</v>
      </c>
      <c r="AX71" s="131">
        <f>AW71/AO71</f>
        <v>-0.51129032258064511</v>
      </c>
      <c r="AY71" s="108">
        <v>303</v>
      </c>
      <c r="AZ71" s="108">
        <f>AY71-AO71</f>
        <v>-317</v>
      </c>
      <c r="BA71" s="131">
        <f>AZ71/AO71</f>
        <v>-0.51129032258064511</v>
      </c>
      <c r="BB71" s="112">
        <f>+AV71-AY71</f>
        <v>0</v>
      </c>
      <c r="BC71" s="108">
        <v>2000</v>
      </c>
      <c r="BD71" s="108">
        <f>BC71-AY71</f>
        <v>1697</v>
      </c>
      <c r="BE71" s="134">
        <f>BD71/AY71</f>
        <v>5.6006600660066006</v>
      </c>
      <c r="BF71" s="108">
        <v>2251</v>
      </c>
      <c r="BG71" s="108">
        <v>2500</v>
      </c>
      <c r="BH71" s="108">
        <v>7043</v>
      </c>
      <c r="BI71" s="108">
        <v>4000</v>
      </c>
      <c r="BJ71" s="108">
        <v>4000</v>
      </c>
      <c r="BK71" s="108">
        <v>4000</v>
      </c>
      <c r="BL71" s="108">
        <v>5000</v>
      </c>
      <c r="BM71" s="108">
        <v>6118.29</v>
      </c>
      <c r="BN71" s="108">
        <v>5000</v>
      </c>
      <c r="BO71" s="108">
        <v>0</v>
      </c>
      <c r="BP71" s="108">
        <f>BN71-BK71</f>
        <v>1000</v>
      </c>
      <c r="BQ71" s="134">
        <f>BP71/BK71</f>
        <v>0.25</v>
      </c>
      <c r="BR71" s="111">
        <f>BO71-BN71</f>
        <v>-5000</v>
      </c>
      <c r="BS71" s="108">
        <v>6133.12</v>
      </c>
      <c r="BT71" s="108">
        <v>5000</v>
      </c>
      <c r="BU71" s="108">
        <v>5085.8500000000004</v>
      </c>
      <c r="BV71" s="108">
        <v>5000</v>
      </c>
      <c r="BW71" s="108">
        <v>5000</v>
      </c>
      <c r="BX71" s="108">
        <f>5372.94+165.91</f>
        <v>5538.8499999999995</v>
      </c>
      <c r="BY71" s="108">
        <f>BW71</f>
        <v>5000</v>
      </c>
      <c r="BZ71" s="108">
        <f>747.8+362</f>
        <v>1109.8</v>
      </c>
      <c r="CA71" s="108">
        <v>5000</v>
      </c>
      <c r="CB71" s="108">
        <v>5000</v>
      </c>
      <c r="CC71" s="108">
        <f t="shared" si="82"/>
        <v>5000</v>
      </c>
      <c r="CD71" s="108">
        <v>0</v>
      </c>
      <c r="CE71" s="108">
        <f>CC71</f>
        <v>5000</v>
      </c>
      <c r="CF71" s="108">
        <v>4000</v>
      </c>
    </row>
    <row r="72" spans="1:84" x14ac:dyDescent="0.4">
      <c r="A72" s="124"/>
      <c r="B72" s="124"/>
      <c r="C72" s="110"/>
      <c r="D72" s="106"/>
      <c r="E72" s="106"/>
      <c r="F72" s="128"/>
      <c r="G72" s="112"/>
      <c r="H72" s="112"/>
      <c r="I72" s="140"/>
      <c r="N72" s="129"/>
      <c r="O72" s="175"/>
      <c r="R72" s="164"/>
      <c r="S72" s="164"/>
      <c r="T72" s="130"/>
      <c r="U72" s="132"/>
      <c r="V72" s="132"/>
      <c r="W72" s="132"/>
      <c r="X72" s="132"/>
      <c r="Y72" s="130"/>
      <c r="Z72" s="130"/>
      <c r="AA72" s="130"/>
      <c r="AB72" s="132"/>
      <c r="AC72" s="132"/>
      <c r="AD72" s="131"/>
      <c r="AE72" s="131"/>
      <c r="AF72" s="131"/>
      <c r="AG72" s="131"/>
      <c r="AH72" s="131"/>
      <c r="AU72" s="108"/>
      <c r="AV72" s="108"/>
      <c r="AW72" s="108"/>
      <c r="AX72" s="108"/>
      <c r="AY72" s="108"/>
      <c r="BG72" s="108"/>
    </row>
    <row r="73" spans="1:84" x14ac:dyDescent="0.4">
      <c r="A73" s="124" t="s">
        <v>134</v>
      </c>
      <c r="B73" s="124"/>
      <c r="C73" s="176" t="s">
        <v>313</v>
      </c>
      <c r="D73" s="132">
        <f ca="1">SUM(D68:D116)</f>
        <v>1.5510412949887541E+38</v>
      </c>
      <c r="E73" s="132">
        <f ca="1">SUM(E67:E116)</f>
        <v>1.6566623486479624E+38</v>
      </c>
      <c r="F73" s="132">
        <f ca="1">SUM(F67:F116)</f>
        <v>1.7861302425745665E+38</v>
      </c>
      <c r="G73" s="132">
        <f ca="1">SUM(G67:G116)</f>
        <v>1.892808009774123E+38</v>
      </c>
      <c r="H73" s="132">
        <f ca="1">SUM(H67:H116)</f>
        <v>1.9989203033939323E+38</v>
      </c>
      <c r="I73" s="166" t="e">
        <f ca="1">#REF!-G73</f>
        <v>#REF!</v>
      </c>
      <c r="J73" s="132">
        <f t="shared" ref="J73:AJ73" ca="1" si="83">SUM(J68:J116)</f>
        <v>1.7003397064330414E+38</v>
      </c>
      <c r="K73" s="132">
        <f t="shared" ca="1" si="83"/>
        <v>1.780300672406283E+38</v>
      </c>
      <c r="L73" s="132">
        <f t="shared" ca="1" si="83"/>
        <v>1.6840348801767619E+38</v>
      </c>
      <c r="M73" s="132">
        <f t="shared" ca="1" si="83"/>
        <v>1.6356349661395686E+38</v>
      </c>
      <c r="N73" s="132">
        <f t="shared" ca="1" si="83"/>
        <v>-4.8399914037193226E+36</v>
      </c>
      <c r="O73" s="132">
        <f t="shared" ca="1" si="83"/>
        <v>210.86443694859645</v>
      </c>
      <c r="P73" s="132">
        <f t="shared" ca="1" si="83"/>
        <v>0</v>
      </c>
      <c r="Q73" s="132">
        <f t="shared" ca="1" si="83"/>
        <v>1.6951561249259126E+38</v>
      </c>
      <c r="R73" s="164">
        <f t="shared" ca="1" si="83"/>
        <v>1.8045893122326311E+38</v>
      </c>
      <c r="S73" s="164">
        <f t="shared" ca="1" si="83"/>
        <v>1.7712853441615555E+38</v>
      </c>
      <c r="T73" s="130">
        <f t="shared" ca="1" si="83"/>
        <v>1.9583670451601038E+38</v>
      </c>
      <c r="U73" s="130">
        <f t="shared" ca="1" si="83"/>
        <v>-3.3303968071075162E+36</v>
      </c>
      <c r="V73" s="130">
        <f t="shared" ca="1" si="83"/>
        <v>-7.4956170457922541E+32</v>
      </c>
      <c r="W73" s="130">
        <f t="shared" ca="1" si="83"/>
        <v>0</v>
      </c>
      <c r="X73" s="130">
        <f t="shared" ca="1" si="83"/>
        <v>0</v>
      </c>
      <c r="Y73" s="130">
        <f t="shared" ca="1" si="83"/>
        <v>2.442115697773437E+38</v>
      </c>
      <c r="Z73" s="130">
        <f t="shared" ca="1" si="83"/>
        <v>2.1725312392301175E+38</v>
      </c>
      <c r="AA73" s="130">
        <f t="shared" ca="1" si="83"/>
        <v>2.1547224723017272E+38</v>
      </c>
      <c r="AB73" s="130">
        <f t="shared" ca="1" si="83"/>
        <v>4.8374865261333405E+37</v>
      </c>
      <c r="AC73" s="130">
        <f t="shared" ca="1" si="83"/>
        <v>1.8556052027827241E+37</v>
      </c>
      <c r="AD73" s="130">
        <f t="shared" ca="1" si="83"/>
        <v>4.6386585932232263E+32</v>
      </c>
      <c r="AE73" s="130">
        <f t="shared" ca="1" si="83"/>
        <v>2.1416419407001411E+37</v>
      </c>
      <c r="AF73" s="130">
        <f t="shared" ca="1" si="83"/>
        <v>3.4251554229204363E+32</v>
      </c>
      <c r="AG73" s="130">
        <f t="shared" ca="1" si="83"/>
        <v>1.6892874157918188E+37</v>
      </c>
      <c r="AH73" s="130">
        <f t="shared" ca="1" si="83"/>
        <v>2.1460645158472153E+32</v>
      </c>
      <c r="AI73" s="130">
        <f t="shared" ca="1" si="83"/>
        <v>2.8626319102064281E+38</v>
      </c>
      <c r="AJ73" s="130">
        <f t="shared" ca="1" si="83"/>
        <v>2.2369333659723053E+38</v>
      </c>
      <c r="AK73" s="130">
        <f ca="1">AI73-AA73</f>
        <v>7.079094379047009E+37</v>
      </c>
      <c r="AL73" s="134">
        <f ca="1">AK73/AA73</f>
        <v>0.32853856912184831</v>
      </c>
      <c r="AM73" s="130">
        <f ca="1">AJ73-AA73</f>
        <v>8.2210893670578108E+36</v>
      </c>
      <c r="AN73" s="134">
        <f ca="1">AM73/AA73</f>
        <v>3.8153820144994556E-2</v>
      </c>
      <c r="AO73" s="130">
        <f ca="1">SUM(AO68:AO116)</f>
        <v>2.3481738640363011E+38</v>
      </c>
      <c r="AP73" s="108">
        <f ca="1">AO73-AA73</f>
        <v>1.9345139173457399E+37</v>
      </c>
      <c r="AQ73" s="131">
        <f ca="1">AP73/AA73</f>
        <v>8.9780189431042823E-2</v>
      </c>
      <c r="AR73" s="130">
        <f ca="1">SUM(AR68:AR116)</f>
        <v>2.6263868652732062E+38</v>
      </c>
      <c r="AS73" s="132">
        <f ca="1">AR73-AA73</f>
        <v>4.7166439297147905E+37</v>
      </c>
      <c r="AT73" s="131">
        <f ca="1">AS73/AA73</f>
        <v>0.21889797829399144</v>
      </c>
      <c r="AU73" s="130">
        <f ca="1">SUM(AU68:AU116)</f>
        <v>2.6625974567867968E+38</v>
      </c>
      <c r="AV73" s="108">
        <f>AY73</f>
        <v>1286551</v>
      </c>
      <c r="AW73" s="108">
        <f ca="1">AV73-AO73</f>
        <v>-2.3481738640363011E+38</v>
      </c>
      <c r="AX73" s="131">
        <f ca="1">AW73/AO73</f>
        <v>-1</v>
      </c>
      <c r="AY73" s="130">
        <f>SUM(AY68:AY72)</f>
        <v>1286551</v>
      </c>
      <c r="AZ73" s="108">
        <f ca="1">AY73-AO73</f>
        <v>-2.3481738640363011E+38</v>
      </c>
      <c r="BA73" s="131">
        <f ca="1">AZ73/AO73</f>
        <v>-1</v>
      </c>
      <c r="BB73" s="112">
        <f>+AV73-AY73</f>
        <v>0</v>
      </c>
      <c r="BC73" s="108">
        <f ca="1">SUM(BC68:BC116)</f>
        <v>2.3877858156404242E+38</v>
      </c>
      <c r="BD73" s="108">
        <f ca="1">BC73-AY73</f>
        <v>2.3877858156404242E+38</v>
      </c>
      <c r="BE73" s="134">
        <f ca="1">BD73/AY73</f>
        <v>1.8559589286708606E+32</v>
      </c>
      <c r="BF73" s="108">
        <f>SUM(BF68:BF72)</f>
        <v>1319771</v>
      </c>
      <c r="BG73" s="108">
        <f ca="1">SUM(BG68:BG116)</f>
        <v>2.5220685507828406E+38</v>
      </c>
      <c r="BH73" s="108">
        <f>SUM(BH68:BH72)</f>
        <v>1333908</v>
      </c>
      <c r="BI73" s="108">
        <f ca="1">SUM(BI68:BI116)</f>
        <v>3.3551381016384267E+38</v>
      </c>
      <c r="BJ73" s="108">
        <f ca="1">SUM(BJ68:BJ116)</f>
        <v>2.6584306385578242E+38</v>
      </c>
      <c r="BK73" s="108">
        <f ca="1">SUM(BK68:BK116)</f>
        <v>2.6794328708783079E+38</v>
      </c>
      <c r="BL73" s="108">
        <f ca="1">SUM(BL68:BL116)</f>
        <v>2.7194762293347025E+38</v>
      </c>
      <c r="BM73" s="108">
        <f>SUM(BM68:BM72)</f>
        <v>1393330.9300000002</v>
      </c>
      <c r="BN73" s="108">
        <f>SUM(BN68:BN72)</f>
        <v>1369340</v>
      </c>
      <c r="BO73" s="108">
        <f>SUM(BO68:BO72)</f>
        <v>31554</v>
      </c>
      <c r="BP73" s="108">
        <f ca="1">BN73-BK73</f>
        <v>-2.6794328708783079E+38</v>
      </c>
      <c r="BQ73" s="134">
        <f ca="1">BP73/BK73</f>
        <v>-1</v>
      </c>
      <c r="BS73" s="108">
        <f t="shared" ref="BS73:CF73" si="84">SUM(BS68:BS72)</f>
        <v>1435765.1700000004</v>
      </c>
      <c r="BT73" s="108">
        <f t="shared" si="84"/>
        <v>1291095</v>
      </c>
      <c r="BU73" s="108">
        <f t="shared" si="84"/>
        <v>1339551.2200000002</v>
      </c>
      <c r="BV73" s="108">
        <f t="shared" si="84"/>
        <v>1330976</v>
      </c>
      <c r="BW73" s="108">
        <f t="shared" si="84"/>
        <v>1437982</v>
      </c>
      <c r="BX73" s="108">
        <f t="shared" si="84"/>
        <v>1366612.4</v>
      </c>
      <c r="BY73" s="108">
        <f t="shared" si="84"/>
        <v>1411982</v>
      </c>
      <c r="BZ73" s="108">
        <f t="shared" si="84"/>
        <v>1432401.6400000001</v>
      </c>
      <c r="CA73" s="108">
        <f t="shared" si="84"/>
        <v>1489784</v>
      </c>
      <c r="CB73" s="108">
        <f t="shared" si="84"/>
        <v>1557463.75</v>
      </c>
      <c r="CC73" s="108">
        <f t="shared" si="84"/>
        <v>1785580.75</v>
      </c>
      <c r="CD73" s="108">
        <f t="shared" si="84"/>
        <v>1478740.61</v>
      </c>
      <c r="CE73" s="108">
        <f t="shared" si="84"/>
        <v>1633881.75</v>
      </c>
      <c r="CF73" s="108">
        <f t="shared" si="84"/>
        <v>1747289.47</v>
      </c>
    </row>
    <row r="74" spans="1:84" x14ac:dyDescent="0.4">
      <c r="A74" s="124" t="s">
        <v>134</v>
      </c>
      <c r="B74" s="124"/>
      <c r="C74" s="110"/>
      <c r="D74" s="106"/>
      <c r="E74" s="106"/>
      <c r="F74" s="132"/>
      <c r="G74" s="112"/>
      <c r="H74" s="112"/>
      <c r="I74" s="140"/>
      <c r="J74" s="140"/>
      <c r="K74" s="140"/>
      <c r="L74" s="140"/>
      <c r="M74" s="140"/>
      <c r="N74" s="129"/>
      <c r="O74" s="138"/>
      <c r="R74" s="164"/>
      <c r="S74" s="164"/>
      <c r="T74" s="130"/>
      <c r="U74" s="132"/>
      <c r="V74" s="132"/>
      <c r="W74" s="132"/>
      <c r="X74" s="132"/>
      <c r="Y74" s="130"/>
      <c r="Z74" s="130"/>
      <c r="AA74" s="130"/>
      <c r="AB74" s="132"/>
      <c r="AC74" s="132"/>
      <c r="AU74" s="108"/>
      <c r="AV74" s="108"/>
      <c r="AW74" s="108"/>
      <c r="AX74" s="108"/>
      <c r="AY74" s="108"/>
      <c r="BG74" s="108"/>
    </row>
    <row r="75" spans="1:84" ht="12.75" customHeight="1" x14ac:dyDescent="0.4">
      <c r="A75" s="124">
        <v>220</v>
      </c>
      <c r="B75" s="124">
        <f>B71+1</f>
        <v>43</v>
      </c>
      <c r="C75" s="110" t="s">
        <v>314</v>
      </c>
      <c r="D75" s="106">
        <v>207078</v>
      </c>
      <c r="E75" s="106">
        <v>227116</v>
      </c>
      <c r="F75" s="128">
        <v>248431</v>
      </c>
      <c r="G75" s="106">
        <v>269762</v>
      </c>
      <c r="H75" s="106">
        <v>317743</v>
      </c>
      <c r="I75" s="129"/>
      <c r="J75" s="130">
        <v>340321</v>
      </c>
      <c r="K75" s="130">
        <v>355134</v>
      </c>
      <c r="L75" s="130">
        <v>322292</v>
      </c>
      <c r="M75" s="130">
        <v>324495</v>
      </c>
      <c r="N75" s="129">
        <f>M75-L75</f>
        <v>2203</v>
      </c>
      <c r="O75" s="138">
        <f>N75/L75</f>
        <v>6.8354163305325609E-3</v>
      </c>
      <c r="Q75" s="130">
        <v>352254.31</v>
      </c>
      <c r="R75" s="164">
        <v>357980.02</v>
      </c>
      <c r="S75" s="164">
        <v>364495</v>
      </c>
      <c r="T75" s="130">
        <v>400842</v>
      </c>
      <c r="U75" s="132">
        <f>S75-R75</f>
        <v>6514.9799999999814</v>
      </c>
      <c r="V75" s="132">
        <f>U75/M75</f>
        <v>2.0077289326491877E-2</v>
      </c>
      <c r="W75" s="132"/>
      <c r="X75" s="132"/>
      <c r="Y75" s="130">
        <v>588105</v>
      </c>
      <c r="Z75" s="130">
        <v>427480</v>
      </c>
      <c r="AA75" s="130">
        <v>460308</v>
      </c>
      <c r="AB75" s="132">
        <f>Y75-T75</f>
        <v>187263</v>
      </c>
      <c r="AC75" s="132">
        <f>T75-S75</f>
        <v>36347</v>
      </c>
      <c r="AD75" s="131">
        <f>AB75/T75</f>
        <v>0.46717409852260988</v>
      </c>
      <c r="AE75" s="133">
        <f>Z75-T75</f>
        <v>26638</v>
      </c>
      <c r="AF75" s="131">
        <f>AE75/T75</f>
        <v>6.64551119892626E-2</v>
      </c>
      <c r="AG75" s="133">
        <f>AA75-T75</f>
        <v>59466</v>
      </c>
      <c r="AH75" s="131">
        <f>AG75/T75</f>
        <v>0.14835271752960019</v>
      </c>
      <c r="AI75" s="130">
        <v>711679</v>
      </c>
      <c r="AJ75" s="130">
        <v>462918</v>
      </c>
      <c r="AK75" s="130">
        <f>AI75-AA75</f>
        <v>251371</v>
      </c>
      <c r="AL75" s="134">
        <f>AK75/AA75</f>
        <v>0.5460930507399393</v>
      </c>
      <c r="AM75" s="130">
        <f>AJ75-AA75</f>
        <v>2610</v>
      </c>
      <c r="AN75" s="134">
        <f>AM75/AA75</f>
        <v>5.670116530670768E-3</v>
      </c>
      <c r="AO75" s="108">
        <v>487180</v>
      </c>
      <c r="AP75" s="108">
        <f>AO75-AA75</f>
        <v>26872</v>
      </c>
      <c r="AQ75" s="131">
        <f>AP75/AA75</f>
        <v>5.8378303223059341E-2</v>
      </c>
      <c r="AR75" s="130">
        <v>553720</v>
      </c>
      <c r="AS75" s="132">
        <f>AR75-AA75</f>
        <v>93412</v>
      </c>
      <c r="AT75" s="131">
        <f>AS75/AA75</f>
        <v>0.20293368787855087</v>
      </c>
      <c r="AU75" s="108">
        <v>671503</v>
      </c>
      <c r="AV75" s="108">
        <f>AY75</f>
        <v>505091</v>
      </c>
      <c r="AW75" s="108">
        <f>AV75-AO75</f>
        <v>17911</v>
      </c>
      <c r="AX75" s="131">
        <f>AW75/AO75</f>
        <v>3.676464551089946E-2</v>
      </c>
      <c r="AY75" s="108">
        <v>505091</v>
      </c>
      <c r="AZ75" s="108">
        <f>AY75-AO75</f>
        <v>17911</v>
      </c>
      <c r="BA75" s="131">
        <f>AZ75/AO75</f>
        <v>3.676464551089946E-2</v>
      </c>
      <c r="BB75" s="112">
        <f>+AV75-AY75</f>
        <v>0</v>
      </c>
      <c r="BC75" s="108">
        <v>520833</v>
      </c>
      <c r="BD75" s="108">
        <f>BC75-AY75</f>
        <v>15742</v>
      </c>
      <c r="BE75" s="134">
        <f>BD75/AY75</f>
        <v>3.1166661057116442E-2</v>
      </c>
      <c r="BF75" s="108">
        <v>528996</v>
      </c>
      <c r="BG75" s="108">
        <v>541773</v>
      </c>
      <c r="BH75" s="108">
        <v>574306</v>
      </c>
      <c r="BI75" s="108">
        <v>868110</v>
      </c>
      <c r="BJ75" s="108">
        <v>581339</v>
      </c>
      <c r="BK75" s="108">
        <f>581339+5954</f>
        <v>587293</v>
      </c>
      <c r="BL75" s="108">
        <v>601118</v>
      </c>
      <c r="BM75" s="108">
        <v>611536.81999999995</v>
      </c>
      <c r="BN75" s="108">
        <f>595655+12106</f>
        <v>607761</v>
      </c>
      <c r="BO75" s="108">
        <v>5463</v>
      </c>
      <c r="BP75" s="108">
        <f>BN75-BK75</f>
        <v>20468</v>
      </c>
      <c r="BQ75" s="134">
        <f>BP75/BK75</f>
        <v>3.4851428503319466E-2</v>
      </c>
      <c r="BR75" s="111">
        <f>BO75-BN75</f>
        <v>-602298</v>
      </c>
      <c r="BS75" s="108">
        <f>634925.2-5322.26-8792.94</f>
        <v>620810</v>
      </c>
      <c r="BT75" s="108">
        <f>637708-20000</f>
        <v>617708</v>
      </c>
      <c r="BU75" s="108">
        <v>623367.11</v>
      </c>
      <c r="BV75" s="108">
        <v>628529</v>
      </c>
      <c r="BW75" s="108">
        <f>675540-20000+48000</f>
        <v>703540</v>
      </c>
      <c r="BX75" s="108">
        <v>653371.81000000006</v>
      </c>
      <c r="BY75" s="108">
        <f>BW75</f>
        <v>703540</v>
      </c>
      <c r="BZ75" s="108">
        <f>705473.49+12718.34-6922.18-9292.27-4000-1075.49</f>
        <v>696901.8899999999</v>
      </c>
      <c r="CA75" s="108">
        <v>730697.36</v>
      </c>
      <c r="CB75" s="108">
        <f>761977.09-10000-8500</f>
        <v>743477.09</v>
      </c>
      <c r="CC75" s="108">
        <f>743477.09+575572</f>
        <v>1319049.0899999999</v>
      </c>
      <c r="CD75" s="108">
        <f>732489.32+10968.77-3169.07-8074.48-6530.93-1376.68</f>
        <v>724306.92999999993</v>
      </c>
      <c r="CE75" s="108">
        <v>827122.09</v>
      </c>
      <c r="CF75" s="108">
        <f>958119.64-20000</f>
        <v>938119.64</v>
      </c>
    </row>
    <row r="76" spans="1:84" ht="12.75" customHeight="1" x14ac:dyDescent="0.4">
      <c r="A76" s="124"/>
      <c r="B76" s="124" t="s">
        <v>315</v>
      </c>
      <c r="C76" s="110" t="s">
        <v>316</v>
      </c>
      <c r="D76" s="106"/>
      <c r="E76" s="106"/>
      <c r="F76" s="128"/>
      <c r="G76" s="106"/>
      <c r="H76" s="106"/>
      <c r="I76" s="129"/>
      <c r="J76" s="130"/>
      <c r="K76" s="130"/>
      <c r="L76" s="130"/>
      <c r="M76" s="130"/>
      <c r="N76" s="129"/>
      <c r="O76" s="138"/>
      <c r="Q76" s="130"/>
      <c r="R76" s="164"/>
      <c r="S76" s="164"/>
      <c r="T76" s="130"/>
      <c r="U76" s="132"/>
      <c r="V76" s="132"/>
      <c r="W76" s="132"/>
      <c r="X76" s="132"/>
      <c r="Y76" s="130"/>
      <c r="Z76" s="130"/>
      <c r="AA76" s="130">
        <v>4204</v>
      </c>
      <c r="AB76" s="132"/>
      <c r="AC76" s="132"/>
      <c r="AD76" s="131"/>
      <c r="AE76" s="133"/>
      <c r="AF76" s="131"/>
      <c r="AG76" s="133"/>
      <c r="AH76" s="131"/>
      <c r="AI76" s="130">
        <v>18000</v>
      </c>
      <c r="AJ76" s="130">
        <v>18000</v>
      </c>
      <c r="AK76" s="130">
        <f>AI76-AA76</f>
        <v>13796</v>
      </c>
      <c r="AL76" s="134"/>
      <c r="AM76" s="130">
        <f>AJ76-AA76</f>
        <v>13796</v>
      </c>
      <c r="AN76" s="134"/>
      <c r="AO76" s="108">
        <v>53774</v>
      </c>
      <c r="AP76" s="108">
        <f>AO76-AA76</f>
        <v>49570</v>
      </c>
      <c r="AQ76" s="131"/>
      <c r="AR76" s="130">
        <v>18000</v>
      </c>
      <c r="AS76" s="132">
        <f>AR76-AA76</f>
        <v>13796</v>
      </c>
      <c r="AT76" s="131"/>
      <c r="AU76" s="108">
        <v>20000</v>
      </c>
      <c r="AV76" s="108">
        <f>AY76</f>
        <v>16532</v>
      </c>
      <c r="AW76" s="108">
        <f>AV76-AO76</f>
        <v>-37242</v>
      </c>
      <c r="AX76" s="131">
        <f>AW76/AO76</f>
        <v>-0.69256518019860902</v>
      </c>
      <c r="AY76" s="108">
        <v>16532</v>
      </c>
      <c r="AZ76" s="108">
        <f>AY76-AO76</f>
        <v>-37242</v>
      </c>
      <c r="BA76" s="131">
        <f>AZ76/AO76</f>
        <v>-0.69256518019860902</v>
      </c>
      <c r="BB76" s="112">
        <f>+AV76-AY76</f>
        <v>0</v>
      </c>
      <c r="BC76" s="108">
        <v>20000</v>
      </c>
      <c r="BD76" s="108">
        <f>BC76-AY76</f>
        <v>3468</v>
      </c>
      <c r="BE76" s="134">
        <f>BD76/AY76</f>
        <v>0.20977498185337526</v>
      </c>
      <c r="BF76" s="108">
        <v>15358</v>
      </c>
      <c r="BG76" s="108">
        <v>16000</v>
      </c>
      <c r="BH76" s="108">
        <v>16311</v>
      </c>
      <c r="BI76" s="108">
        <v>20000</v>
      </c>
      <c r="BJ76" s="108">
        <v>20000</v>
      </c>
      <c r="BK76" s="108">
        <v>20000</v>
      </c>
      <c r="BL76" s="108">
        <v>20000</v>
      </c>
      <c r="BM76" s="108">
        <v>21052.49</v>
      </c>
      <c r="BN76" s="108">
        <v>21988</v>
      </c>
      <c r="BO76" s="108">
        <v>0</v>
      </c>
      <c r="BP76" s="108">
        <f>BN76-BK76</f>
        <v>1988</v>
      </c>
      <c r="BQ76" s="134">
        <f>BP76/BK76</f>
        <v>9.9400000000000002E-2</v>
      </c>
      <c r="BR76" s="111">
        <f>BO76-BN76</f>
        <v>-21988</v>
      </c>
      <c r="BS76" s="108">
        <f>5322.26+8792.94+3195.06</f>
        <v>17310.260000000002</v>
      </c>
      <c r="BT76" s="108">
        <v>20000</v>
      </c>
      <c r="BU76" s="108">
        <v>18882</v>
      </c>
      <c r="BV76" s="108">
        <v>20000</v>
      </c>
      <c r="BW76" s="108">
        <v>20000</v>
      </c>
      <c r="BX76" s="108">
        <f>7955.58+3585.56+6321.43</f>
        <v>17862.57</v>
      </c>
      <c r="BY76" s="108">
        <f>BW76</f>
        <v>20000</v>
      </c>
      <c r="BZ76" s="108">
        <f>6922.18+9292.27+4000+1075.49</f>
        <v>21289.940000000002</v>
      </c>
      <c r="CA76" s="108">
        <v>18500</v>
      </c>
      <c r="CB76" s="108">
        <v>18500</v>
      </c>
      <c r="CC76" s="108">
        <v>18500</v>
      </c>
      <c r="CD76" s="108">
        <f>3169.07+8074.48+6530.93+1376.68</f>
        <v>19151.16</v>
      </c>
      <c r="CE76" s="108">
        <f>CC76</f>
        <v>18500</v>
      </c>
      <c r="CF76" s="108">
        <v>20000</v>
      </c>
    </row>
    <row r="77" spans="1:84" ht="12.75" customHeight="1" x14ac:dyDescent="0.4">
      <c r="A77" s="124">
        <v>223</v>
      </c>
      <c r="B77" s="124">
        <f>B75+1</f>
        <v>44</v>
      </c>
      <c r="C77" s="110" t="s">
        <v>317</v>
      </c>
      <c r="D77" s="106">
        <v>14610</v>
      </c>
      <c r="E77" s="106">
        <v>14448</v>
      </c>
      <c r="F77" s="128">
        <v>13760</v>
      </c>
      <c r="G77" s="106">
        <v>13760</v>
      </c>
      <c r="H77" s="106">
        <v>7260</v>
      </c>
      <c r="I77" s="129"/>
      <c r="J77" s="130">
        <v>13832</v>
      </c>
      <c r="K77" s="130">
        <f>J77</f>
        <v>13832</v>
      </c>
      <c r="L77" s="130">
        <v>13527</v>
      </c>
      <c r="M77" s="130">
        <v>13800</v>
      </c>
      <c r="N77" s="129">
        <f>M77-L77</f>
        <v>273</v>
      </c>
      <c r="O77" s="138">
        <f>N77/L77</f>
        <v>2.01818585052118E-2</v>
      </c>
      <c r="Q77" s="130">
        <v>13930</v>
      </c>
      <c r="R77" s="164">
        <v>13946.92</v>
      </c>
      <c r="S77" s="164">
        <v>13800</v>
      </c>
      <c r="T77" s="130">
        <v>13703</v>
      </c>
      <c r="U77" s="132">
        <f>S77-R77</f>
        <v>-146.92000000000007</v>
      </c>
      <c r="V77" s="132">
        <f>U77/M77</f>
        <v>-1.0646376811594208E-2</v>
      </c>
      <c r="W77" s="132"/>
      <c r="X77" s="132"/>
      <c r="Y77" s="130">
        <v>13950</v>
      </c>
      <c r="Z77" s="130">
        <v>13950</v>
      </c>
      <c r="AA77" s="130">
        <v>14193</v>
      </c>
      <c r="AB77" s="132">
        <f>Y77-T77</f>
        <v>247</v>
      </c>
      <c r="AC77" s="132">
        <f>T77-S77</f>
        <v>-97</v>
      </c>
      <c r="AD77" s="131">
        <f>AB77/T77</f>
        <v>1.8025249945267458E-2</v>
      </c>
      <c r="AE77" s="133">
        <f>Z77-T77</f>
        <v>247</v>
      </c>
      <c r="AF77" s="131">
        <f>AE77/T77</f>
        <v>1.8025249945267458E-2</v>
      </c>
      <c r="AG77" s="133">
        <f>AA77-T77</f>
        <v>490</v>
      </c>
      <c r="AH77" s="131">
        <f>AG77/T77</f>
        <v>3.5758593008830185E-2</v>
      </c>
      <c r="AI77" s="130">
        <v>13950</v>
      </c>
      <c r="AJ77" s="130">
        <v>13950</v>
      </c>
      <c r="AK77" s="130">
        <f>AI77-AA77</f>
        <v>-243</v>
      </c>
      <c r="AL77" s="134">
        <f>AK77/AA77</f>
        <v>-1.7121116043119847E-2</v>
      </c>
      <c r="AM77" s="130">
        <f>AJ77-AA77</f>
        <v>-243</v>
      </c>
      <c r="AN77" s="134">
        <f>AM77/AA77</f>
        <v>-1.7121116043119847E-2</v>
      </c>
      <c r="AO77" s="108">
        <v>14154</v>
      </c>
      <c r="AP77" s="108">
        <f>AO77-AA77</f>
        <v>-39</v>
      </c>
      <c r="AQ77" s="131">
        <f>AP77/AA77</f>
        <v>-2.7478334390192349E-3</v>
      </c>
      <c r="AR77" s="130">
        <v>13950</v>
      </c>
      <c r="AS77" s="132">
        <f>AR77-AA77</f>
        <v>-243</v>
      </c>
      <c r="AT77" s="131">
        <f>AS77/AA77</f>
        <v>-1.7121116043119847E-2</v>
      </c>
      <c r="AU77" s="108">
        <v>14152</v>
      </c>
      <c r="AV77" s="108">
        <f>AY77</f>
        <v>14236</v>
      </c>
      <c r="AW77" s="108">
        <f>AV77-AO77</f>
        <v>82</v>
      </c>
      <c r="AX77" s="131">
        <f>AW77/AO77</f>
        <v>5.7934152889642506E-3</v>
      </c>
      <c r="AY77" s="108">
        <v>14236</v>
      </c>
      <c r="AZ77" s="108">
        <f>AY77-AO77</f>
        <v>82</v>
      </c>
      <c r="BA77" s="131">
        <f>AZ77/AO77</f>
        <v>5.7934152889642506E-3</v>
      </c>
      <c r="BB77" s="112">
        <f>+AV77-AY77</f>
        <v>0</v>
      </c>
      <c r="BC77" s="108">
        <v>14265</v>
      </c>
      <c r="BD77" s="108">
        <f>BC77-AY77</f>
        <v>29</v>
      </c>
      <c r="BE77" s="134">
        <f>BD77/AY77</f>
        <v>2.0370890699634727E-3</v>
      </c>
      <c r="BF77" s="108">
        <v>14361</v>
      </c>
      <c r="BG77" s="108">
        <v>14265</v>
      </c>
      <c r="BH77" s="108">
        <v>14659</v>
      </c>
      <c r="BI77" s="108">
        <v>15000</v>
      </c>
      <c r="BJ77" s="108">
        <v>15000</v>
      </c>
      <c r="BK77" s="108">
        <v>15000</v>
      </c>
      <c r="BL77" s="108">
        <v>15000</v>
      </c>
      <c r="BM77" s="108">
        <v>14747.04</v>
      </c>
      <c r="BN77" s="108">
        <v>15000</v>
      </c>
      <c r="BO77" s="108">
        <v>0</v>
      </c>
      <c r="BP77" s="108">
        <f>BN77-BK77</f>
        <v>0</v>
      </c>
      <c r="BQ77" s="134">
        <f>BP77/BK77</f>
        <v>0</v>
      </c>
      <c r="BR77" s="111">
        <f>BO77-BN77</f>
        <v>-15000</v>
      </c>
      <c r="BS77" s="108">
        <v>14952</v>
      </c>
      <c r="BT77" s="108">
        <v>15000</v>
      </c>
      <c r="BU77" s="108">
        <v>14952</v>
      </c>
      <c r="BV77" s="108">
        <v>15000</v>
      </c>
      <c r="BW77" s="108">
        <v>15000</v>
      </c>
      <c r="BX77" s="108">
        <v>14952</v>
      </c>
      <c r="BY77" s="108">
        <f>BW77</f>
        <v>15000</v>
      </c>
      <c r="BZ77" s="108">
        <v>14952.58</v>
      </c>
      <c r="CA77" s="108">
        <v>15000</v>
      </c>
      <c r="CB77" s="108">
        <v>15000</v>
      </c>
      <c r="CC77" s="108">
        <f>CB77</f>
        <v>15000</v>
      </c>
      <c r="CD77" s="108">
        <f>1979+13000</f>
        <v>14979</v>
      </c>
      <c r="CE77" s="108">
        <f>CC77</f>
        <v>15000</v>
      </c>
      <c r="CF77" s="108">
        <v>15000</v>
      </c>
    </row>
    <row r="78" spans="1:84" ht="12.75" customHeight="1" x14ac:dyDescent="0.4">
      <c r="A78" s="124">
        <v>227</v>
      </c>
      <c r="B78" s="124">
        <f>B77+1</f>
        <v>45</v>
      </c>
      <c r="C78" s="110" t="s">
        <v>318</v>
      </c>
      <c r="D78" s="106">
        <v>2972</v>
      </c>
      <c r="E78" s="106">
        <v>2993</v>
      </c>
      <c r="F78" s="128">
        <v>3343</v>
      </c>
      <c r="G78" s="106">
        <v>2574</v>
      </c>
      <c r="H78" s="106">
        <v>2061</v>
      </c>
      <c r="I78" s="129"/>
      <c r="J78" s="130">
        <v>2667</v>
      </c>
      <c r="K78" s="130">
        <f>J78</f>
        <v>2667</v>
      </c>
      <c r="L78" s="130">
        <v>0</v>
      </c>
      <c r="M78" s="130">
        <v>0</v>
      </c>
      <c r="N78" s="129">
        <f>M78-L78</f>
        <v>0</v>
      </c>
      <c r="O78" s="138"/>
      <c r="Q78" s="130">
        <v>0</v>
      </c>
      <c r="R78" s="164">
        <v>3090</v>
      </c>
      <c r="S78" s="164">
        <v>3090</v>
      </c>
      <c r="T78" s="130">
        <v>1911</v>
      </c>
      <c r="U78" s="132">
        <f>S78-R78</f>
        <v>0</v>
      </c>
      <c r="V78" s="132"/>
      <c r="W78" s="132"/>
      <c r="X78" s="132"/>
      <c r="Y78" s="130">
        <v>5000</v>
      </c>
      <c r="Z78" s="130">
        <v>5000</v>
      </c>
      <c r="AA78" s="130">
        <v>3416</v>
      </c>
      <c r="AB78" s="132">
        <f>Y78-T78</f>
        <v>3089</v>
      </c>
      <c r="AC78" s="132">
        <f>T78-S78</f>
        <v>-1179</v>
      </c>
      <c r="AD78" s="131">
        <f>AB78/T78</f>
        <v>1.6164311878597593</v>
      </c>
      <c r="AE78" s="133">
        <f>Z78-T78</f>
        <v>3089</v>
      </c>
      <c r="AF78" s="131">
        <f>AE78/T78</f>
        <v>1.6164311878597593</v>
      </c>
      <c r="AG78" s="133">
        <f>AA78-T78</f>
        <v>1505</v>
      </c>
      <c r="AH78" s="131">
        <f>AG78/T78</f>
        <v>0.78754578754578752</v>
      </c>
      <c r="AI78" s="130">
        <v>10000</v>
      </c>
      <c r="AJ78" s="130">
        <v>5000</v>
      </c>
      <c r="AK78" s="130">
        <f>AI78-AA78</f>
        <v>6584</v>
      </c>
      <c r="AL78" s="134">
        <f>AK78/AA78</f>
        <v>1.9274004683840749</v>
      </c>
      <c r="AM78" s="130">
        <f>AJ78-AA78</f>
        <v>1584</v>
      </c>
      <c r="AN78" s="134">
        <f>AM78/AA78</f>
        <v>0.46370023419203749</v>
      </c>
      <c r="AO78" s="108">
        <v>4484</v>
      </c>
      <c r="AP78" s="108">
        <f>AO78-AA78</f>
        <v>1068</v>
      </c>
      <c r="AQ78" s="131">
        <f>AP78/AA78</f>
        <v>0.31264637002341922</v>
      </c>
      <c r="AR78" s="130">
        <v>10000</v>
      </c>
      <c r="AS78" s="132">
        <f>AR78-AA78</f>
        <v>6584</v>
      </c>
      <c r="AT78" s="131">
        <f>AS78/AA78</f>
        <v>1.9274004683840749</v>
      </c>
      <c r="AU78" s="108">
        <v>10000</v>
      </c>
      <c r="AV78" s="108">
        <f>AY78</f>
        <v>14036</v>
      </c>
      <c r="AW78" s="108">
        <f>AV78-AO78</f>
        <v>9552</v>
      </c>
      <c r="AX78" s="131">
        <f>AW78/AO78</f>
        <v>2.1302408563782338</v>
      </c>
      <c r="AY78" s="108">
        <v>14036</v>
      </c>
      <c r="AZ78" s="108">
        <f>AY78-AO78</f>
        <v>9552</v>
      </c>
      <c r="BA78" s="131">
        <f>AZ78/AO78</f>
        <v>2.1302408563782338</v>
      </c>
      <c r="BB78" s="112">
        <f>+AV78-AY78</f>
        <v>0</v>
      </c>
      <c r="BC78" s="108">
        <v>10000</v>
      </c>
      <c r="BD78" s="108">
        <f>BC78-AY78</f>
        <v>-4036</v>
      </c>
      <c r="BE78" s="134">
        <f>BD78/AY78</f>
        <v>-0.28754630948988313</v>
      </c>
      <c r="BF78" s="108">
        <v>4277</v>
      </c>
      <c r="BG78" s="108">
        <v>10000</v>
      </c>
      <c r="BH78" s="108">
        <v>5463</v>
      </c>
      <c r="BI78" s="108">
        <v>10000</v>
      </c>
      <c r="BJ78" s="108">
        <v>10000</v>
      </c>
      <c r="BK78" s="108">
        <v>10000</v>
      </c>
      <c r="BL78" s="108">
        <v>10000</v>
      </c>
      <c r="BM78" s="108">
        <v>10107.73</v>
      </c>
      <c r="BN78" s="108">
        <v>10000</v>
      </c>
      <c r="BO78" s="108">
        <v>0</v>
      </c>
      <c r="BP78" s="108">
        <f>BN78-BK78</f>
        <v>0</v>
      </c>
      <c r="BQ78" s="134">
        <f>BP78/BK78</f>
        <v>0</v>
      </c>
      <c r="BR78" s="111">
        <f>BO78-BN78</f>
        <v>-10000</v>
      </c>
      <c r="BS78" s="108">
        <f>4351.29+4000</f>
        <v>8351.2900000000009</v>
      </c>
      <c r="BT78" s="108">
        <v>10000</v>
      </c>
      <c r="BU78" s="108">
        <f>2257.47+7727.53</f>
        <v>9985</v>
      </c>
      <c r="BV78" s="108">
        <v>10000</v>
      </c>
      <c r="BW78" s="108">
        <v>10000</v>
      </c>
      <c r="BX78" s="108">
        <f>2300.68+3284.9</f>
        <v>5585.58</v>
      </c>
      <c r="BY78" s="108">
        <f>BW78</f>
        <v>10000</v>
      </c>
      <c r="BZ78" s="108">
        <v>4680.91</v>
      </c>
      <c r="CA78" s="108">
        <v>10000</v>
      </c>
      <c r="CB78" s="108">
        <v>10000</v>
      </c>
      <c r="CC78" s="108">
        <f>CB78</f>
        <v>10000</v>
      </c>
      <c r="CD78" s="108">
        <f>7082.25+2702.07</f>
        <v>9784.32</v>
      </c>
      <c r="CE78" s="108">
        <f>CC78</f>
        <v>10000</v>
      </c>
      <c r="CF78" s="108">
        <v>10000</v>
      </c>
    </row>
    <row r="79" spans="1:84" s="139" customFormat="1" x14ac:dyDescent="0.4">
      <c r="A79" s="124" t="s">
        <v>134</v>
      </c>
      <c r="B79" s="124"/>
      <c r="C79" s="110"/>
      <c r="D79" s="106"/>
      <c r="E79" s="106"/>
      <c r="F79" s="128"/>
      <c r="G79" s="177"/>
      <c r="H79" s="177"/>
      <c r="I79" s="140"/>
      <c r="N79" s="129"/>
      <c r="O79" s="138"/>
      <c r="R79" s="164"/>
      <c r="S79" s="164"/>
      <c r="T79" s="130"/>
      <c r="U79" s="132"/>
      <c r="V79" s="132"/>
      <c r="W79" s="132"/>
      <c r="X79" s="132"/>
      <c r="Y79" s="130"/>
      <c r="Z79" s="130"/>
      <c r="AA79" s="130"/>
      <c r="AB79" s="132"/>
      <c r="AC79" s="132"/>
      <c r="AU79" s="108"/>
      <c r="AV79" s="108"/>
      <c r="AW79" s="108"/>
      <c r="AX79" s="108"/>
      <c r="AY79" s="108"/>
      <c r="BB79" s="177"/>
      <c r="BS79" s="108"/>
    </row>
    <row r="80" spans="1:84" x14ac:dyDescent="0.4">
      <c r="A80" s="124" t="s">
        <v>134</v>
      </c>
      <c r="B80" s="124"/>
      <c r="C80" s="176" t="s">
        <v>319</v>
      </c>
      <c r="D80" s="132">
        <f ca="1">SUM(D75:D82)</f>
        <v>36314752</v>
      </c>
      <c r="E80" s="132">
        <f ca="1">SUM(E75:E82)</f>
        <v>38643254</v>
      </c>
      <c r="F80" s="132">
        <f ca="1">SUM(F75:F82)</f>
        <v>40898298</v>
      </c>
      <c r="G80" s="132">
        <f ca="1">SUM(G75:G82)</f>
        <v>44072256</v>
      </c>
      <c r="H80" s="132">
        <f ca="1">SUM(H75:H82)</f>
        <v>49259578</v>
      </c>
      <c r="I80" s="132" t="e">
        <f ca="1">#REF!-G80</f>
        <v>#REF!</v>
      </c>
      <c r="J80" s="132">
        <f>SUM(J75:J79)</f>
        <v>356820</v>
      </c>
      <c r="K80" s="132">
        <f>SUM(K75:K79)</f>
        <v>371633</v>
      </c>
      <c r="L80" s="132">
        <f>SUM(L75:L79)</f>
        <v>335819</v>
      </c>
      <c r="M80" s="132">
        <f>SUM(M75:M79)</f>
        <v>338295</v>
      </c>
      <c r="N80" s="132">
        <f>M80-L80</f>
        <v>2476</v>
      </c>
      <c r="O80" s="131">
        <f>N80/L80</f>
        <v>7.3730193943761374E-3</v>
      </c>
      <c r="Q80" s="132">
        <f t="shared" ref="Q80:AJ80" si="85">SUM(Q75:Q79)</f>
        <v>366184.31</v>
      </c>
      <c r="R80" s="164">
        <f t="shared" si="85"/>
        <v>375016.94</v>
      </c>
      <c r="S80" s="164">
        <f t="shared" si="85"/>
        <v>381385</v>
      </c>
      <c r="T80" s="130">
        <f t="shared" si="85"/>
        <v>416456</v>
      </c>
      <c r="U80" s="178">
        <f t="shared" si="85"/>
        <v>6368.0599999999813</v>
      </c>
      <c r="V80" s="178">
        <f t="shared" si="85"/>
        <v>9.4309125148976693E-3</v>
      </c>
      <c r="W80" s="178">
        <f t="shared" si="85"/>
        <v>0</v>
      </c>
      <c r="X80" s="178">
        <f t="shared" si="85"/>
        <v>0</v>
      </c>
      <c r="Y80" s="130">
        <f t="shared" si="85"/>
        <v>607055</v>
      </c>
      <c r="Z80" s="130">
        <f t="shared" si="85"/>
        <v>446430</v>
      </c>
      <c r="AA80" s="130">
        <f t="shared" si="85"/>
        <v>482121</v>
      </c>
      <c r="AB80" s="130">
        <f t="shared" si="85"/>
        <v>190599</v>
      </c>
      <c r="AC80" s="130">
        <f t="shared" si="85"/>
        <v>35071</v>
      </c>
      <c r="AD80" s="130">
        <f t="shared" si="85"/>
        <v>2.1016305363276366</v>
      </c>
      <c r="AE80" s="130">
        <f t="shared" si="85"/>
        <v>29974</v>
      </c>
      <c r="AF80" s="130">
        <f t="shared" si="85"/>
        <v>1.7009115497942893</v>
      </c>
      <c r="AG80" s="130">
        <f t="shared" si="85"/>
        <v>61461</v>
      </c>
      <c r="AH80" s="130">
        <f t="shared" si="85"/>
        <v>0.97165709808421785</v>
      </c>
      <c r="AI80" s="130">
        <f t="shared" si="85"/>
        <v>753629</v>
      </c>
      <c r="AJ80" s="130">
        <f t="shared" si="85"/>
        <v>499868</v>
      </c>
      <c r="AK80" s="130">
        <f>AI80-AA80</f>
        <v>271508</v>
      </c>
      <c r="AL80" s="134">
        <f>AK80/AA80</f>
        <v>0.56315323331694744</v>
      </c>
      <c r="AM80" s="130">
        <f>AJ80-AA80</f>
        <v>17747</v>
      </c>
      <c r="AN80" s="134">
        <f>AM80/AA80</f>
        <v>3.6810261324439299E-2</v>
      </c>
      <c r="AO80" s="130">
        <f>SUM(AO75:AO79)</f>
        <v>559592</v>
      </c>
      <c r="AP80" s="108">
        <f>AO80-AA80</f>
        <v>77471</v>
      </c>
      <c r="AQ80" s="131">
        <f>AP80/AA80</f>
        <v>0.16068787710968824</v>
      </c>
      <c r="AR80" s="130">
        <f>SUM(AR75:AR79)</f>
        <v>595670</v>
      </c>
      <c r="AS80" s="132">
        <f>AR80-AA80</f>
        <v>113549</v>
      </c>
      <c r="AT80" s="131">
        <f>AS80/AA80</f>
        <v>0.23551971393073523</v>
      </c>
      <c r="AU80" s="130">
        <f>SUM(AU75:AU79)</f>
        <v>715655</v>
      </c>
      <c r="AV80" s="108">
        <f>AY80</f>
        <v>549895</v>
      </c>
      <c r="AW80" s="108">
        <f>AV80-AO80</f>
        <v>-9697</v>
      </c>
      <c r="AX80" s="131">
        <f>AW80/AO80</f>
        <v>-1.7328696621824471E-2</v>
      </c>
      <c r="AY80" s="130">
        <f>SUM(AY75:AY79)</f>
        <v>549895</v>
      </c>
      <c r="AZ80" s="108">
        <f>AY80-AO80</f>
        <v>-9697</v>
      </c>
      <c r="BA80" s="131">
        <f>AZ80/AO80</f>
        <v>-1.7328696621824471E-2</v>
      </c>
      <c r="BB80" s="112">
        <f>+AV80-AY80</f>
        <v>0</v>
      </c>
      <c r="BC80" s="108">
        <f>SUM(BC75:BC79)</f>
        <v>565098</v>
      </c>
      <c r="BD80" s="108">
        <f>BC80-AY80</f>
        <v>15203</v>
      </c>
      <c r="BE80" s="134">
        <f>BD80/AY80</f>
        <v>2.7647096263832185E-2</v>
      </c>
      <c r="BF80" s="108">
        <f t="shared" ref="BF80:BO80" si="86">SUM(BF75:BF79)</f>
        <v>562992</v>
      </c>
      <c r="BG80" s="108">
        <f t="shared" si="86"/>
        <v>582038</v>
      </c>
      <c r="BH80" s="108">
        <f t="shared" si="86"/>
        <v>610739</v>
      </c>
      <c r="BI80" s="108">
        <f t="shared" si="86"/>
        <v>913110</v>
      </c>
      <c r="BJ80" s="108">
        <f t="shared" si="86"/>
        <v>626339</v>
      </c>
      <c r="BK80" s="108">
        <f t="shared" si="86"/>
        <v>632293</v>
      </c>
      <c r="BL80" s="108">
        <f t="shared" si="86"/>
        <v>646118</v>
      </c>
      <c r="BM80" s="108">
        <f t="shared" si="86"/>
        <v>657444.07999999996</v>
      </c>
      <c r="BN80" s="108">
        <f t="shared" si="86"/>
        <v>654749</v>
      </c>
      <c r="BO80" s="108">
        <f t="shared" si="86"/>
        <v>5463</v>
      </c>
      <c r="BP80" s="108">
        <f>BN80-BK80</f>
        <v>22456</v>
      </c>
      <c r="BQ80" s="134">
        <f>BP80/BK80</f>
        <v>3.551518046222242E-2</v>
      </c>
      <c r="BS80" s="108">
        <f t="shared" ref="BS80:CF80" si="87">SUM(BS75:BS79)</f>
        <v>661423.55000000005</v>
      </c>
      <c r="BT80" s="108">
        <f t="shared" si="87"/>
        <v>662708</v>
      </c>
      <c r="BU80" s="108">
        <f t="shared" si="87"/>
        <v>667186.11</v>
      </c>
      <c r="BV80" s="108">
        <f t="shared" si="87"/>
        <v>673529</v>
      </c>
      <c r="BW80" s="108">
        <f t="shared" si="87"/>
        <v>748540</v>
      </c>
      <c r="BX80" s="108">
        <f t="shared" si="87"/>
        <v>691771.96</v>
      </c>
      <c r="BY80" s="108">
        <f t="shared" si="87"/>
        <v>748540</v>
      </c>
      <c r="BZ80" s="108">
        <f t="shared" si="87"/>
        <v>737825.31999999983</v>
      </c>
      <c r="CA80" s="108">
        <f t="shared" si="87"/>
        <v>774197.36</v>
      </c>
      <c r="CB80" s="108">
        <f t="shared" si="87"/>
        <v>786977.09</v>
      </c>
      <c r="CC80" s="108">
        <f t="shared" si="87"/>
        <v>1362549.0899999999</v>
      </c>
      <c r="CD80" s="108">
        <f t="shared" si="87"/>
        <v>768221.40999999992</v>
      </c>
      <c r="CE80" s="108">
        <f t="shared" si="87"/>
        <v>870622.09</v>
      </c>
      <c r="CF80" s="108">
        <f t="shared" si="87"/>
        <v>983119.64</v>
      </c>
    </row>
    <row r="81" spans="1:84" x14ac:dyDescent="0.4">
      <c r="A81" s="124"/>
      <c r="B81" s="124"/>
      <c r="C81" s="176"/>
      <c r="D81" s="132"/>
      <c r="E81" s="132"/>
      <c r="F81" s="132"/>
      <c r="G81" s="132"/>
      <c r="H81" s="132"/>
      <c r="I81" s="132"/>
      <c r="J81" s="132"/>
      <c r="K81" s="132"/>
      <c r="L81" s="132"/>
      <c r="M81" s="132"/>
      <c r="N81" s="132"/>
      <c r="O81" s="131"/>
      <c r="Q81" s="132"/>
      <c r="R81" s="164"/>
      <c r="S81" s="164"/>
      <c r="T81" s="130"/>
      <c r="U81" s="178"/>
      <c r="V81" s="178"/>
      <c r="W81" s="178"/>
      <c r="X81" s="178"/>
      <c r="Y81" s="130"/>
      <c r="Z81" s="130"/>
      <c r="AA81" s="130"/>
      <c r="AB81" s="130"/>
      <c r="AC81" s="130"/>
      <c r="AD81" s="130"/>
      <c r="AE81" s="130"/>
      <c r="AF81" s="130"/>
      <c r="AG81" s="130"/>
      <c r="AH81" s="130"/>
      <c r="AI81" s="130"/>
      <c r="AJ81" s="130"/>
      <c r="AK81" s="130"/>
      <c r="AL81" s="134"/>
      <c r="AM81" s="130"/>
      <c r="AN81" s="134"/>
      <c r="AO81" s="130"/>
      <c r="AP81" s="108"/>
      <c r="AQ81" s="131"/>
      <c r="AR81" s="130"/>
      <c r="AS81" s="132"/>
      <c r="AT81" s="131"/>
      <c r="AU81" s="130"/>
      <c r="AV81" s="108"/>
      <c r="AW81" s="108"/>
      <c r="AX81" s="131"/>
      <c r="AY81" s="130"/>
      <c r="AZ81" s="108"/>
      <c r="BA81" s="131"/>
      <c r="BC81" s="108"/>
      <c r="BD81" s="108"/>
      <c r="BE81" s="134"/>
      <c r="BF81" s="108"/>
      <c r="BG81" s="108"/>
      <c r="BH81" s="108"/>
      <c r="BI81" s="108"/>
      <c r="BJ81" s="108"/>
      <c r="BK81" s="108"/>
      <c r="BL81" s="108"/>
      <c r="BM81" s="108"/>
      <c r="BN81" s="108"/>
      <c r="BO81" s="108"/>
      <c r="BP81" s="108"/>
      <c r="BQ81" s="134"/>
      <c r="BT81" s="108"/>
      <c r="BU81" s="108"/>
      <c r="BV81" s="108"/>
      <c r="BW81" s="108"/>
      <c r="BX81" s="108"/>
    </row>
    <row r="82" spans="1:84" ht="12.75" customHeight="1" x14ac:dyDescent="0.4">
      <c r="A82" s="124">
        <v>228</v>
      </c>
      <c r="B82" s="124">
        <f>B78+1</f>
        <v>46</v>
      </c>
      <c r="C82" s="110" t="s">
        <v>320</v>
      </c>
      <c r="D82" s="106">
        <v>117932</v>
      </c>
      <c r="E82" s="106">
        <v>120002</v>
      </c>
      <c r="F82" s="128">
        <v>120299</v>
      </c>
      <c r="G82" s="106">
        <v>129680</v>
      </c>
      <c r="H82" s="106">
        <v>137649</v>
      </c>
      <c r="I82" s="129"/>
      <c r="J82" s="130">
        <v>143728</v>
      </c>
      <c r="K82" s="130">
        <v>142160</v>
      </c>
      <c r="L82" s="130">
        <v>143842</v>
      </c>
      <c r="M82" s="130">
        <v>151641</v>
      </c>
      <c r="N82" s="129">
        <f>M82-L82</f>
        <v>7799</v>
      </c>
      <c r="O82" s="138">
        <f>N82/L82</f>
        <v>5.4219212747319979E-2</v>
      </c>
      <c r="Q82" s="130">
        <v>155104.24</v>
      </c>
      <c r="R82" s="164">
        <v>163589.07</v>
      </c>
      <c r="S82" s="164">
        <v>151641</v>
      </c>
      <c r="T82" s="130">
        <v>168883</v>
      </c>
      <c r="U82" s="132">
        <f>S82-R82</f>
        <v>-11948.070000000007</v>
      </c>
      <c r="V82" s="132">
        <f>U82/M82</f>
        <v>-7.8791817516370946E-2</v>
      </c>
      <c r="W82" s="132"/>
      <c r="X82" s="132"/>
      <c r="Y82" s="130">
        <v>175326</v>
      </c>
      <c r="Z82" s="130">
        <v>174326</v>
      </c>
      <c r="AA82" s="130">
        <v>177946</v>
      </c>
      <c r="AB82" s="132">
        <f>Y82-T82</f>
        <v>6443</v>
      </c>
      <c r="AC82" s="132">
        <f>T82-S82</f>
        <v>17242</v>
      </c>
      <c r="AD82" s="131">
        <f>AB82/T82</f>
        <v>3.8150672358970412E-2</v>
      </c>
      <c r="AE82" s="133">
        <f>Z82-T82</f>
        <v>5443</v>
      </c>
      <c r="AF82" s="131">
        <f>AE82/T82</f>
        <v>3.2229413262436127E-2</v>
      </c>
      <c r="AG82" s="133">
        <f>AA82-T82</f>
        <v>9063</v>
      </c>
      <c r="AH82" s="131">
        <f>AG82/T82</f>
        <v>5.3664371191890242E-2</v>
      </c>
      <c r="AI82" s="130">
        <v>180635</v>
      </c>
      <c r="AJ82" s="130">
        <v>180635</v>
      </c>
      <c r="AK82" s="130">
        <f>AI82-AA82</f>
        <v>2689</v>
      </c>
      <c r="AL82" s="134">
        <f>AK82/AA82</f>
        <v>1.5111325907859689E-2</v>
      </c>
      <c r="AM82" s="130">
        <f>AJ82-AA82</f>
        <v>2689</v>
      </c>
      <c r="AN82" s="134">
        <f>AM82/AA82</f>
        <v>1.5111325907859689E-2</v>
      </c>
      <c r="AO82" s="108">
        <v>186796</v>
      </c>
      <c r="AP82" s="108">
        <f>AO82-AA82</f>
        <v>8850</v>
      </c>
      <c r="AQ82" s="131">
        <f>AP82/AA82</f>
        <v>4.9734189023636383E-2</v>
      </c>
      <c r="AR82" s="130">
        <v>180635</v>
      </c>
      <c r="AS82" s="132">
        <f>AR82-AA82</f>
        <v>2689</v>
      </c>
      <c r="AT82" s="131">
        <f>AS82/AA82</f>
        <v>1.5111325907859689E-2</v>
      </c>
      <c r="AU82" s="108">
        <v>180635</v>
      </c>
      <c r="AV82" s="108">
        <f>AY82</f>
        <v>182042</v>
      </c>
      <c r="AW82" s="108">
        <f>AV82-AO82</f>
        <v>-4754</v>
      </c>
      <c r="AX82" s="131">
        <f>AW82/AO82</f>
        <v>-2.545022377352834E-2</v>
      </c>
      <c r="AY82" s="108">
        <v>182042</v>
      </c>
      <c r="AZ82" s="108">
        <f>AY82-AO82</f>
        <v>-4754</v>
      </c>
      <c r="BA82" s="131">
        <f>AZ82/AO82</f>
        <v>-2.545022377352834E-2</v>
      </c>
      <c r="BB82" s="112">
        <f>+AV82-AY82</f>
        <v>0</v>
      </c>
      <c r="BC82" s="108">
        <v>180635</v>
      </c>
      <c r="BD82" s="108">
        <f>BC82-AY82</f>
        <v>-1407</v>
      </c>
      <c r="BE82" s="134">
        <f>BD82/AY82</f>
        <v>-7.7289856187033766E-3</v>
      </c>
      <c r="BF82" s="108">
        <v>173298</v>
      </c>
      <c r="BG82" s="108">
        <v>193925</v>
      </c>
      <c r="BH82" s="108">
        <v>179122</v>
      </c>
      <c r="BI82" s="108">
        <v>211723</v>
      </c>
      <c r="BJ82" s="108">
        <v>211723</v>
      </c>
      <c r="BK82" s="108">
        <v>211723</v>
      </c>
      <c r="BL82" s="108">
        <v>231079</v>
      </c>
      <c r="BM82" s="108">
        <v>184498.82</v>
      </c>
      <c r="BN82" s="108">
        <v>205079</v>
      </c>
      <c r="BO82" s="108">
        <v>0</v>
      </c>
      <c r="BP82" s="108">
        <f>BN82-BK82</f>
        <v>-6644</v>
      </c>
      <c r="BQ82" s="134">
        <f>BP82/BK82</f>
        <v>-3.1380624684139179E-2</v>
      </c>
      <c r="BR82" s="111">
        <f>BO82-BN82</f>
        <v>-205079</v>
      </c>
      <c r="BS82" s="108">
        <v>200719.35999999999</v>
      </c>
      <c r="BT82" s="108">
        <v>248293</v>
      </c>
      <c r="BU82" s="108">
        <v>248799.62</v>
      </c>
      <c r="BV82" s="108">
        <v>249513</v>
      </c>
      <c r="BW82" s="108">
        <v>261975</v>
      </c>
      <c r="BX82" s="108">
        <v>255567.57</v>
      </c>
      <c r="BY82" s="108">
        <v>287975</v>
      </c>
      <c r="BZ82" s="108">
        <v>282115.24</v>
      </c>
      <c r="CA82" s="108">
        <v>261440.2</v>
      </c>
      <c r="CB82" s="108">
        <v>255718.71</v>
      </c>
      <c r="CC82" s="108">
        <f>255718.71+37648</f>
        <v>293366.70999999996</v>
      </c>
      <c r="CD82" s="108">
        <v>257231.11</v>
      </c>
      <c r="CE82" s="108">
        <v>255718.71</v>
      </c>
      <c r="CF82" s="108">
        <v>276467.51</v>
      </c>
    </row>
    <row r="83" spans="1:84" x14ac:dyDescent="0.4">
      <c r="A83" s="124" t="s">
        <v>134</v>
      </c>
      <c r="B83" s="124"/>
      <c r="C83" s="110"/>
      <c r="D83" s="106"/>
      <c r="E83" s="106"/>
      <c r="F83" s="132"/>
      <c r="G83" s="112"/>
      <c r="H83" s="112"/>
      <c r="I83" s="140"/>
      <c r="N83" s="129"/>
      <c r="O83" s="138"/>
      <c r="R83" s="164"/>
      <c r="S83" s="164"/>
      <c r="T83" s="130"/>
      <c r="U83" s="132"/>
      <c r="V83" s="132"/>
      <c r="W83" s="132"/>
      <c r="X83" s="132"/>
      <c r="Y83" s="130"/>
      <c r="Z83" s="130"/>
      <c r="AA83" s="130"/>
      <c r="AB83" s="132"/>
      <c r="AC83" s="132"/>
      <c r="AU83" s="108"/>
      <c r="AV83" s="108"/>
      <c r="AW83" s="108"/>
      <c r="AX83" s="108"/>
      <c r="AY83" s="108"/>
      <c r="BC83" s="108"/>
      <c r="BF83" s="108"/>
    </row>
    <row r="84" spans="1:84" x14ac:dyDescent="0.4">
      <c r="A84" s="124"/>
      <c r="B84" s="124"/>
      <c r="C84" s="176" t="s">
        <v>321</v>
      </c>
      <c r="D84" s="106"/>
      <c r="E84" s="106"/>
      <c r="F84" s="132"/>
      <c r="G84" s="112"/>
      <c r="H84" s="112"/>
      <c r="I84" s="140"/>
      <c r="N84" s="129"/>
      <c r="O84" s="138"/>
      <c r="R84" s="164"/>
      <c r="S84" s="164"/>
      <c r="T84" s="130"/>
      <c r="U84" s="132"/>
      <c r="V84" s="132"/>
      <c r="W84" s="132"/>
      <c r="X84" s="132"/>
      <c r="Y84" s="130"/>
      <c r="Z84" s="130"/>
      <c r="AA84" s="130"/>
      <c r="AB84" s="132"/>
      <c r="AC84" s="132"/>
      <c r="AU84" s="108"/>
      <c r="AV84" s="108"/>
      <c r="AW84" s="108"/>
      <c r="AX84" s="108"/>
      <c r="AY84" s="108">
        <f>AY82</f>
        <v>182042</v>
      </c>
      <c r="BC84" s="108"/>
      <c r="BF84" s="108">
        <f t="shared" ref="BF84:CF84" si="88">BF82</f>
        <v>173298</v>
      </c>
      <c r="BG84" s="108">
        <f t="shared" si="88"/>
        <v>193925</v>
      </c>
      <c r="BH84" s="108">
        <f t="shared" si="88"/>
        <v>179122</v>
      </c>
      <c r="BI84" s="108">
        <f t="shared" si="88"/>
        <v>211723</v>
      </c>
      <c r="BJ84" s="108">
        <f t="shared" si="88"/>
        <v>211723</v>
      </c>
      <c r="BK84" s="108">
        <f t="shared" si="88"/>
        <v>211723</v>
      </c>
      <c r="BL84" s="108">
        <f t="shared" si="88"/>
        <v>231079</v>
      </c>
      <c r="BM84" s="108">
        <f t="shared" si="88"/>
        <v>184498.82</v>
      </c>
      <c r="BN84" s="108">
        <f t="shared" si="88"/>
        <v>205079</v>
      </c>
      <c r="BO84" s="108">
        <f t="shared" si="88"/>
        <v>0</v>
      </c>
      <c r="BP84" s="108">
        <f t="shared" si="88"/>
        <v>-6644</v>
      </c>
      <c r="BQ84" s="108">
        <f t="shared" si="88"/>
        <v>-3.1380624684139179E-2</v>
      </c>
      <c r="BR84" s="108">
        <f t="shared" si="88"/>
        <v>-205079</v>
      </c>
      <c r="BS84" s="108">
        <f t="shared" si="88"/>
        <v>200719.35999999999</v>
      </c>
      <c r="BT84" s="108">
        <f t="shared" si="88"/>
        <v>248293</v>
      </c>
      <c r="BU84" s="108">
        <f t="shared" si="88"/>
        <v>248799.62</v>
      </c>
      <c r="BV84" s="108">
        <f t="shared" si="88"/>
        <v>249513</v>
      </c>
      <c r="BW84" s="108">
        <f t="shared" si="88"/>
        <v>261975</v>
      </c>
      <c r="BX84" s="108">
        <f t="shared" si="88"/>
        <v>255567.57</v>
      </c>
      <c r="BY84" s="108">
        <f t="shared" si="88"/>
        <v>287975</v>
      </c>
      <c r="BZ84" s="108">
        <f t="shared" si="88"/>
        <v>282115.24</v>
      </c>
      <c r="CA84" s="108">
        <f t="shared" si="88"/>
        <v>261440.2</v>
      </c>
      <c r="CB84" s="108">
        <f t="shared" si="88"/>
        <v>255718.71</v>
      </c>
      <c r="CC84" s="108">
        <f t="shared" si="88"/>
        <v>293366.70999999996</v>
      </c>
      <c r="CD84" s="108">
        <f t="shared" si="88"/>
        <v>257231.11</v>
      </c>
      <c r="CE84" s="108">
        <f t="shared" si="88"/>
        <v>255718.71</v>
      </c>
      <c r="CF84" s="108">
        <f t="shared" si="88"/>
        <v>276467.51</v>
      </c>
    </row>
    <row r="85" spans="1:84" x14ac:dyDescent="0.4">
      <c r="A85" s="124"/>
      <c r="B85" s="124"/>
      <c r="C85" s="110"/>
      <c r="D85" s="106"/>
      <c r="E85" s="106"/>
      <c r="F85" s="132"/>
      <c r="G85" s="112"/>
      <c r="H85" s="112"/>
      <c r="I85" s="140"/>
      <c r="N85" s="129"/>
      <c r="O85" s="138"/>
      <c r="R85" s="164"/>
      <c r="S85" s="164"/>
      <c r="T85" s="130"/>
      <c r="U85" s="132"/>
      <c r="V85" s="132"/>
      <c r="W85" s="132"/>
      <c r="X85" s="132"/>
      <c r="Y85" s="130"/>
      <c r="Z85" s="130"/>
      <c r="AA85" s="130"/>
      <c r="AB85" s="132"/>
      <c r="AC85" s="132"/>
      <c r="AU85" s="108"/>
      <c r="AV85" s="108"/>
      <c r="AW85" s="108"/>
      <c r="AX85" s="108"/>
      <c r="AY85" s="108"/>
      <c r="BC85" s="108"/>
      <c r="BF85" s="108"/>
    </row>
    <row r="86" spans="1:84" ht="12.75" customHeight="1" x14ac:dyDescent="0.4">
      <c r="A86" s="124">
        <v>291</v>
      </c>
      <c r="B86" s="124">
        <f>B82+1</f>
        <v>47</v>
      </c>
      <c r="C86" s="110" t="s">
        <v>322</v>
      </c>
      <c r="D86" s="106">
        <v>719</v>
      </c>
      <c r="E86" s="106">
        <v>759</v>
      </c>
      <c r="F86" s="106">
        <v>767</v>
      </c>
      <c r="G86" s="106">
        <v>1080</v>
      </c>
      <c r="H86" s="106">
        <v>1074</v>
      </c>
      <c r="I86" s="129"/>
      <c r="J86" s="130">
        <v>1074</v>
      </c>
      <c r="K86" s="130">
        <f>J86</f>
        <v>1074</v>
      </c>
      <c r="L86" s="130">
        <v>914</v>
      </c>
      <c r="M86" s="130">
        <v>907</v>
      </c>
      <c r="N86" s="129">
        <f>M86-L86</f>
        <v>-7</v>
      </c>
      <c r="O86" s="138">
        <f>N86/L86</f>
        <v>-7.658643326039387E-3</v>
      </c>
      <c r="Q86" s="130">
        <v>900.5</v>
      </c>
      <c r="R86" s="164">
        <v>1213.6500000000001</v>
      </c>
      <c r="S86" s="164">
        <v>907</v>
      </c>
      <c r="T86" s="130">
        <v>1007</v>
      </c>
      <c r="U86" s="132">
        <f>S86-R86</f>
        <v>-306.65000000000009</v>
      </c>
      <c r="V86" s="132">
        <f>U86/Q86</f>
        <v>-0.34053303720155481</v>
      </c>
      <c r="W86" s="132"/>
      <c r="X86" s="132"/>
      <c r="Y86" s="130">
        <v>1157</v>
      </c>
      <c r="Z86" s="130">
        <v>1157</v>
      </c>
      <c r="AA86" s="130">
        <v>1098</v>
      </c>
      <c r="AB86" s="132">
        <f t="shared" ref="AB86:AB92" si="89">Y86-T86</f>
        <v>150</v>
      </c>
      <c r="AC86" s="132">
        <f>T86-S86</f>
        <v>100</v>
      </c>
      <c r="AD86" s="131">
        <f t="shared" ref="AD86:AD92" si="90">AB86/T86</f>
        <v>0.14895729890764647</v>
      </c>
      <c r="AE86" s="133">
        <f t="shared" ref="AE86:AE92" si="91">Z86-T86</f>
        <v>150</v>
      </c>
      <c r="AF86" s="131">
        <f t="shared" ref="AF86:AF92" si="92">AE86/T86</f>
        <v>0.14895729890764647</v>
      </c>
      <c r="AG86" s="133">
        <f t="shared" ref="AG86:AG92" si="93">AA86-T86</f>
        <v>91</v>
      </c>
      <c r="AH86" s="131">
        <f t="shared" ref="AH86:AH92" si="94">AG86/T86</f>
        <v>9.0367428003972197E-2</v>
      </c>
      <c r="AI86" s="130">
        <v>1307</v>
      </c>
      <c r="AJ86" s="130">
        <v>1307</v>
      </c>
      <c r="AK86" s="130">
        <f t="shared" ref="AK86:AK92" si="95">AI86-AA86</f>
        <v>209</v>
      </c>
      <c r="AL86" s="134">
        <f t="shared" ref="AL86:AL92" si="96">AK86/AA86</f>
        <v>0.19034608378870674</v>
      </c>
      <c r="AM86" s="130">
        <f t="shared" ref="AM86:AM92" si="97">AJ86-AA86</f>
        <v>209</v>
      </c>
      <c r="AN86" s="134">
        <f t="shared" ref="AN86:AN92" si="98">AM86/AA86</f>
        <v>0.19034608378870674</v>
      </c>
      <c r="AO86" s="108">
        <v>1127</v>
      </c>
      <c r="AP86" s="108">
        <f t="shared" ref="AP86:AP92" si="99">AO86-AA86</f>
        <v>29</v>
      </c>
      <c r="AQ86" s="131">
        <f t="shared" ref="AQ86:AQ92" si="100">AP86/AA86</f>
        <v>2.6411657559198543E-2</v>
      </c>
      <c r="AR86" s="130">
        <v>1307</v>
      </c>
      <c r="AS86" s="132">
        <f t="shared" ref="AS86:AS92" si="101">AR86-AA86</f>
        <v>209</v>
      </c>
      <c r="AT86" s="131">
        <f t="shared" ref="AT86:AT92" si="102">AS86/AA86</f>
        <v>0.19034608378870674</v>
      </c>
      <c r="AU86" s="108">
        <v>1507</v>
      </c>
      <c r="AV86" s="108">
        <f t="shared" ref="AV86:AV92" si="103">AY86</f>
        <v>0</v>
      </c>
      <c r="AW86" s="108">
        <f t="shared" ref="AW86:AW92" si="104">AV86-AO86</f>
        <v>-1127</v>
      </c>
      <c r="AX86" s="131">
        <f t="shared" ref="AX86:AX92" si="105">AW86/AO86</f>
        <v>-1</v>
      </c>
      <c r="AY86" s="108">
        <v>0</v>
      </c>
      <c r="AZ86" s="108">
        <f t="shared" ref="AZ86:AZ92" si="106">AY86-AO86</f>
        <v>-1127</v>
      </c>
      <c r="BA86" s="131">
        <f t="shared" ref="BA86:BA92" si="107">AZ86/AO86</f>
        <v>-1</v>
      </c>
      <c r="BB86" s="112">
        <f t="shared" ref="BB86:BB92" si="108">+AV86-AY86</f>
        <v>0</v>
      </c>
      <c r="BC86" s="108">
        <v>3500</v>
      </c>
      <c r="BD86" s="108">
        <f t="shared" ref="BD86:BD92" si="109">BC86-AY86</f>
        <v>3500</v>
      </c>
      <c r="BE86" s="134" t="e">
        <f t="shared" ref="BE86:BE92" si="110">BD86/AY86</f>
        <v>#DIV/0!</v>
      </c>
      <c r="BF86" s="108">
        <v>263</v>
      </c>
      <c r="BG86" s="108">
        <v>3500</v>
      </c>
      <c r="BH86" s="108">
        <v>2500</v>
      </c>
      <c r="BI86" s="108">
        <v>5750</v>
      </c>
      <c r="BJ86" s="108">
        <v>5750</v>
      </c>
      <c r="BK86" s="108">
        <v>5750</v>
      </c>
      <c r="BL86" s="108">
        <v>5750</v>
      </c>
      <c r="BM86" s="108">
        <v>8250.35</v>
      </c>
      <c r="BN86" s="108">
        <v>3250</v>
      </c>
      <c r="BO86" s="108">
        <v>0</v>
      </c>
      <c r="BP86" s="108">
        <f t="shared" ref="BP86:BP92" si="111">BN86-BK86</f>
        <v>-2500</v>
      </c>
      <c r="BQ86" s="134">
        <f t="shared" ref="BQ86:BQ92" si="112">BP86/BK86</f>
        <v>-0.43478260869565216</v>
      </c>
      <c r="BR86" s="111">
        <f t="shared" ref="BR86:BR92" si="113">BO86-BN86</f>
        <v>-3250</v>
      </c>
      <c r="BS86" s="108">
        <v>19747.18</v>
      </c>
      <c r="BT86" s="108">
        <v>4250</v>
      </c>
      <c r="BU86" s="108">
        <v>4500</v>
      </c>
      <c r="BV86" s="108">
        <v>6500</v>
      </c>
      <c r="BW86" s="108">
        <v>6500</v>
      </c>
      <c r="BX86" s="108">
        <v>6031.04</v>
      </c>
      <c r="BY86" s="108">
        <f t="shared" ref="BY86:BY92" si="114">BW86</f>
        <v>6500</v>
      </c>
      <c r="BZ86" s="108">
        <v>4500</v>
      </c>
      <c r="CA86" s="108">
        <v>6500</v>
      </c>
      <c r="CB86" s="108">
        <v>6500</v>
      </c>
      <c r="CC86" s="108">
        <f t="shared" ref="CC86:CC92" si="115">CB86</f>
        <v>6500</v>
      </c>
      <c r="CD86" s="108">
        <v>5495</v>
      </c>
      <c r="CE86" s="108">
        <f>CC86</f>
        <v>6500</v>
      </c>
      <c r="CF86" s="108">
        <v>6500</v>
      </c>
    </row>
    <row r="87" spans="1:84" ht="12.75" customHeight="1" x14ac:dyDescent="0.4">
      <c r="A87" s="124">
        <v>244</v>
      </c>
      <c r="B87" s="124">
        <f t="shared" ref="B87:B92" si="116">B86+1</f>
        <v>48</v>
      </c>
      <c r="C87" s="127" t="s">
        <v>323</v>
      </c>
      <c r="D87" s="106">
        <v>1000</v>
      </c>
      <c r="E87" s="106">
        <v>1000</v>
      </c>
      <c r="F87" s="128">
        <v>1000</v>
      </c>
      <c r="G87" s="106">
        <v>1177</v>
      </c>
      <c r="H87" s="106">
        <v>1000</v>
      </c>
      <c r="I87" s="129"/>
      <c r="J87" s="130">
        <v>1084</v>
      </c>
      <c r="K87" s="130">
        <f>J87</f>
        <v>1084</v>
      </c>
      <c r="L87" s="130">
        <v>404</v>
      </c>
      <c r="M87" s="130">
        <v>2310</v>
      </c>
      <c r="N87" s="129">
        <f>M87-L87</f>
        <v>1906</v>
      </c>
      <c r="O87" s="138">
        <f>N87/L87</f>
        <v>4.717821782178218</v>
      </c>
      <c r="Q87" s="130">
        <v>1500.03</v>
      </c>
      <c r="R87" s="132">
        <v>2285.1</v>
      </c>
      <c r="S87" s="132">
        <v>2310</v>
      </c>
      <c r="T87" s="130">
        <v>4745</v>
      </c>
      <c r="U87" s="132">
        <f>S87-R87</f>
        <v>24.900000000000091</v>
      </c>
      <c r="V87" s="132">
        <f>U87/Q87</f>
        <v>1.659966800663993E-2</v>
      </c>
      <c r="W87" s="132"/>
      <c r="X87" s="132"/>
      <c r="Y87" s="130">
        <v>3350</v>
      </c>
      <c r="Z87" s="130">
        <v>3350</v>
      </c>
      <c r="AA87" s="130">
        <v>3322</v>
      </c>
      <c r="AB87" s="132">
        <f t="shared" si="89"/>
        <v>-1395</v>
      </c>
      <c r="AC87" s="132">
        <f>T87-S87</f>
        <v>2435</v>
      </c>
      <c r="AD87" s="131">
        <f t="shared" si="90"/>
        <v>-0.29399367755532141</v>
      </c>
      <c r="AE87" s="133">
        <f t="shared" si="91"/>
        <v>-1395</v>
      </c>
      <c r="AF87" s="131">
        <f t="shared" si="92"/>
        <v>-0.29399367755532141</v>
      </c>
      <c r="AG87" s="133">
        <f t="shared" si="93"/>
        <v>-1423</v>
      </c>
      <c r="AH87" s="131">
        <f t="shared" si="94"/>
        <v>-0.29989462592202321</v>
      </c>
      <c r="AI87" s="130">
        <v>3350</v>
      </c>
      <c r="AJ87" s="130">
        <v>3350</v>
      </c>
      <c r="AK87" s="130">
        <f t="shared" si="95"/>
        <v>28</v>
      </c>
      <c r="AL87" s="134">
        <f t="shared" si="96"/>
        <v>8.4286574352799518E-3</v>
      </c>
      <c r="AM87" s="130">
        <f t="shared" si="97"/>
        <v>28</v>
      </c>
      <c r="AN87" s="134">
        <f t="shared" si="98"/>
        <v>8.4286574352799518E-3</v>
      </c>
      <c r="AO87" s="108">
        <v>3342</v>
      </c>
      <c r="AP87" s="108">
        <f t="shared" si="99"/>
        <v>20</v>
      </c>
      <c r="AQ87" s="131">
        <f t="shared" si="100"/>
        <v>6.020469596628537E-3</v>
      </c>
      <c r="AR87" s="130">
        <v>3350</v>
      </c>
      <c r="AS87" s="132">
        <f t="shared" si="101"/>
        <v>28</v>
      </c>
      <c r="AT87" s="131">
        <f t="shared" si="102"/>
        <v>8.4286574352799518E-3</v>
      </c>
      <c r="AU87" s="108">
        <v>3350</v>
      </c>
      <c r="AV87" s="108">
        <f t="shared" si="103"/>
        <v>3255</v>
      </c>
      <c r="AW87" s="108">
        <f t="shared" si="104"/>
        <v>-87</v>
      </c>
      <c r="AX87" s="131">
        <f t="shared" si="105"/>
        <v>-2.6032315978456014E-2</v>
      </c>
      <c r="AY87" s="108">
        <v>3255</v>
      </c>
      <c r="AZ87" s="108">
        <f t="shared" si="106"/>
        <v>-87</v>
      </c>
      <c r="BA87" s="131">
        <f t="shared" si="107"/>
        <v>-2.6032315978456014E-2</v>
      </c>
      <c r="BB87" s="112">
        <f t="shared" si="108"/>
        <v>0</v>
      </c>
      <c r="BC87" s="108">
        <v>3000</v>
      </c>
      <c r="BD87" s="108">
        <f t="shared" si="109"/>
        <v>-255</v>
      </c>
      <c r="BE87" s="134">
        <f t="shared" si="110"/>
        <v>-7.8341013824884786E-2</v>
      </c>
      <c r="BF87" s="108">
        <v>3171</v>
      </c>
      <c r="BG87" s="108">
        <v>3350</v>
      </c>
      <c r="BH87" s="108">
        <v>3100</v>
      </c>
      <c r="BI87" s="108">
        <v>3350</v>
      </c>
      <c r="BJ87" s="108">
        <v>3350</v>
      </c>
      <c r="BK87" s="108">
        <v>3350</v>
      </c>
      <c r="BL87" s="108">
        <v>4100</v>
      </c>
      <c r="BM87" s="108">
        <v>3434.69</v>
      </c>
      <c r="BN87" s="108">
        <v>4100</v>
      </c>
      <c r="BO87" s="108">
        <v>0</v>
      </c>
      <c r="BP87" s="108">
        <f t="shared" si="111"/>
        <v>750</v>
      </c>
      <c r="BQ87" s="134">
        <f t="shared" si="112"/>
        <v>0.22388059701492538</v>
      </c>
      <c r="BR87" s="111">
        <f t="shared" si="113"/>
        <v>-4100</v>
      </c>
      <c r="BS87" s="108">
        <f>3750+1330</f>
        <v>5080</v>
      </c>
      <c r="BT87" s="108">
        <v>4000</v>
      </c>
      <c r="BU87" s="108">
        <v>5108.16</v>
      </c>
      <c r="BV87" s="108">
        <v>4000</v>
      </c>
      <c r="BW87" s="108">
        <v>4100</v>
      </c>
      <c r="BX87" s="108">
        <v>4024</v>
      </c>
      <c r="BY87" s="108">
        <f t="shared" si="114"/>
        <v>4100</v>
      </c>
      <c r="BZ87" s="108">
        <v>4315</v>
      </c>
      <c r="CA87" s="108">
        <v>4300</v>
      </c>
      <c r="CB87" s="108">
        <v>4300</v>
      </c>
      <c r="CC87" s="108">
        <f t="shared" si="115"/>
        <v>4300</v>
      </c>
      <c r="CD87" s="108">
        <v>4145</v>
      </c>
      <c r="CE87" s="108">
        <f>CC87</f>
        <v>4300</v>
      </c>
      <c r="CF87" s="108">
        <v>4300</v>
      </c>
    </row>
    <row r="88" spans="1:84" ht="12.75" customHeight="1" x14ac:dyDescent="0.4">
      <c r="A88" s="124">
        <v>245</v>
      </c>
      <c r="B88" s="124">
        <f t="shared" si="116"/>
        <v>49</v>
      </c>
      <c r="C88" s="110" t="s">
        <v>324</v>
      </c>
      <c r="D88" s="106">
        <v>5944</v>
      </c>
      <c r="E88" s="106">
        <v>8949</v>
      </c>
      <c r="F88" s="128">
        <v>9449</v>
      </c>
      <c r="G88" s="106">
        <v>14268</v>
      </c>
      <c r="H88" s="106">
        <v>12625</v>
      </c>
      <c r="I88" s="129"/>
      <c r="J88" s="130">
        <v>14932</v>
      </c>
      <c r="K88" s="130">
        <v>16650</v>
      </c>
      <c r="L88" s="130">
        <v>20590</v>
      </c>
      <c r="M88" s="130">
        <v>15206</v>
      </c>
      <c r="N88" s="129">
        <f>M88-L88</f>
        <v>-5384</v>
      </c>
      <c r="O88" s="138">
        <f>N88/L88</f>
        <v>-0.26148615832928607</v>
      </c>
      <c r="Q88" s="130">
        <v>21202.52</v>
      </c>
      <c r="R88" s="164">
        <v>18277.91</v>
      </c>
      <c r="S88" s="164">
        <v>20000</v>
      </c>
      <c r="T88" s="130">
        <v>16855</v>
      </c>
      <c r="U88" s="132">
        <f>S88-R88</f>
        <v>1722.0900000000001</v>
      </c>
      <c r="V88" s="132">
        <f>U88/Q88</f>
        <v>8.1221005804970353E-2</v>
      </c>
      <c r="W88" s="132"/>
      <c r="X88" s="132"/>
      <c r="Y88" s="130">
        <v>21000</v>
      </c>
      <c r="Z88" s="130">
        <v>21000</v>
      </c>
      <c r="AA88" s="130">
        <v>17403</v>
      </c>
      <c r="AB88" s="132">
        <f t="shared" si="89"/>
        <v>4145</v>
      </c>
      <c r="AC88" s="132">
        <f>T88-S88</f>
        <v>-3145</v>
      </c>
      <c r="AD88" s="131">
        <f t="shared" si="90"/>
        <v>0.2459210916641946</v>
      </c>
      <c r="AE88" s="133">
        <f t="shared" si="91"/>
        <v>4145</v>
      </c>
      <c r="AF88" s="131">
        <f t="shared" si="92"/>
        <v>0.2459210916641946</v>
      </c>
      <c r="AG88" s="133">
        <f t="shared" si="93"/>
        <v>548</v>
      </c>
      <c r="AH88" s="131">
        <f t="shared" si="94"/>
        <v>3.2512607534856124E-2</v>
      </c>
      <c r="AI88" s="130">
        <v>21250</v>
      </c>
      <c r="AJ88" s="130">
        <v>21000</v>
      </c>
      <c r="AK88" s="130">
        <f t="shared" si="95"/>
        <v>3847</v>
      </c>
      <c r="AL88" s="134">
        <f t="shared" si="96"/>
        <v>0.22105384129173131</v>
      </c>
      <c r="AM88" s="130">
        <f t="shared" si="97"/>
        <v>3597</v>
      </c>
      <c r="AN88" s="134">
        <f t="shared" si="98"/>
        <v>0.20668850198241681</v>
      </c>
      <c r="AO88" s="108">
        <v>12866</v>
      </c>
      <c r="AP88" s="108">
        <f t="shared" si="99"/>
        <v>-4537</v>
      </c>
      <c r="AQ88" s="131">
        <f t="shared" si="100"/>
        <v>-0.2607021777854393</v>
      </c>
      <c r="AR88" s="130">
        <v>21000</v>
      </c>
      <c r="AS88" s="132">
        <f t="shared" si="101"/>
        <v>3597</v>
      </c>
      <c r="AT88" s="131">
        <f t="shared" si="102"/>
        <v>0.20668850198241681</v>
      </c>
      <c r="AU88" s="108">
        <v>21000</v>
      </c>
      <c r="AV88" s="108">
        <f t="shared" si="103"/>
        <v>11983</v>
      </c>
      <c r="AW88" s="108">
        <f t="shared" si="104"/>
        <v>-883</v>
      </c>
      <c r="AX88" s="131">
        <f t="shared" si="105"/>
        <v>-6.8630498989584954E-2</v>
      </c>
      <c r="AY88" s="108">
        <v>11983</v>
      </c>
      <c r="AZ88" s="108">
        <f t="shared" si="106"/>
        <v>-883</v>
      </c>
      <c r="BA88" s="131">
        <f t="shared" si="107"/>
        <v>-6.8630498989584954E-2</v>
      </c>
      <c r="BB88" s="112">
        <f t="shared" si="108"/>
        <v>0</v>
      </c>
      <c r="BC88" s="108">
        <v>10000</v>
      </c>
      <c r="BD88" s="108">
        <f t="shared" si="109"/>
        <v>-1983</v>
      </c>
      <c r="BE88" s="134">
        <f t="shared" si="110"/>
        <v>-0.16548443628473672</v>
      </c>
      <c r="BF88" s="108">
        <v>17931</v>
      </c>
      <c r="BG88" s="108">
        <v>17500</v>
      </c>
      <c r="BH88" s="108">
        <v>24882</v>
      </c>
      <c r="BI88" s="108">
        <v>17500</v>
      </c>
      <c r="BJ88" s="108">
        <v>17500</v>
      </c>
      <c r="BK88" s="108">
        <v>17500</v>
      </c>
      <c r="BL88" s="108">
        <v>17500</v>
      </c>
      <c r="BM88" s="108">
        <v>16900.16</v>
      </c>
      <c r="BN88" s="108">
        <v>17500</v>
      </c>
      <c r="BO88" s="108">
        <v>0</v>
      </c>
      <c r="BP88" s="108">
        <f t="shared" si="111"/>
        <v>0</v>
      </c>
      <c r="BQ88" s="134">
        <f t="shared" si="112"/>
        <v>0</v>
      </c>
      <c r="BR88" s="111">
        <f t="shared" si="113"/>
        <v>-17500</v>
      </c>
      <c r="BS88" s="108">
        <v>18599.63</v>
      </c>
      <c r="BT88" s="108">
        <v>16500</v>
      </c>
      <c r="BU88" s="108">
        <v>21912.33</v>
      </c>
      <c r="BV88" s="108">
        <v>16500</v>
      </c>
      <c r="BW88" s="108">
        <v>16500</v>
      </c>
      <c r="BX88" s="108">
        <v>26754.77</v>
      </c>
      <c r="BY88" s="108">
        <f t="shared" si="114"/>
        <v>16500</v>
      </c>
      <c r="BZ88" s="108">
        <v>26563.360000000001</v>
      </c>
      <c r="CA88" s="108">
        <v>20000</v>
      </c>
      <c r="CB88" s="108">
        <v>20000</v>
      </c>
      <c r="CC88" s="108">
        <f t="shared" si="115"/>
        <v>20000</v>
      </c>
      <c r="CD88" s="108">
        <v>33803.54</v>
      </c>
      <c r="CE88" s="108">
        <v>0</v>
      </c>
      <c r="CF88" s="108">
        <v>0</v>
      </c>
    </row>
    <row r="89" spans="1:84" ht="12.75" customHeight="1" x14ac:dyDescent="0.4">
      <c r="A89" s="124">
        <v>241</v>
      </c>
      <c r="B89" s="124">
        <f t="shared" si="116"/>
        <v>50</v>
      </c>
      <c r="C89" s="110" t="s">
        <v>325</v>
      </c>
      <c r="D89" s="106">
        <v>62180</v>
      </c>
      <c r="E89" s="106">
        <v>64518</v>
      </c>
      <c r="F89" s="128">
        <v>67397</v>
      </c>
      <c r="G89" s="106">
        <v>70300</v>
      </c>
      <c r="H89" s="106">
        <v>80632</v>
      </c>
      <c r="I89" s="129"/>
      <c r="J89" s="130">
        <v>89839</v>
      </c>
      <c r="K89" s="130">
        <f>J89</f>
        <v>89839</v>
      </c>
      <c r="L89" s="130">
        <v>86375</v>
      </c>
      <c r="M89" s="130">
        <v>82994</v>
      </c>
      <c r="N89" s="129">
        <f>M89-L89</f>
        <v>-3381</v>
      </c>
      <c r="O89" s="138">
        <f>N89/L89</f>
        <v>-3.9143270622286543E-2</v>
      </c>
      <c r="Q89" s="130">
        <v>84181.86</v>
      </c>
      <c r="R89" s="164">
        <v>91702.06</v>
      </c>
      <c r="S89" s="164">
        <v>92994</v>
      </c>
      <c r="T89" s="130">
        <v>99369</v>
      </c>
      <c r="U89" s="132">
        <f>S89-R89</f>
        <v>1291.9400000000023</v>
      </c>
      <c r="V89" s="132">
        <f>U89/Q89</f>
        <v>1.5347011814659386E-2</v>
      </c>
      <c r="W89" s="132"/>
      <c r="X89" s="132"/>
      <c r="Y89" s="130">
        <v>102952</v>
      </c>
      <c r="Z89" s="130">
        <v>102952</v>
      </c>
      <c r="AA89" s="130">
        <v>102974</v>
      </c>
      <c r="AB89" s="132">
        <f t="shared" si="89"/>
        <v>3583</v>
      </c>
      <c r="AC89" s="132">
        <f>T89-S89</f>
        <v>6375</v>
      </c>
      <c r="AD89" s="131">
        <f t="shared" si="90"/>
        <v>3.6057522969940324E-2</v>
      </c>
      <c r="AE89" s="133">
        <f t="shared" si="91"/>
        <v>3583</v>
      </c>
      <c r="AF89" s="131">
        <f t="shared" si="92"/>
        <v>3.6057522969940324E-2</v>
      </c>
      <c r="AG89" s="133">
        <f t="shared" si="93"/>
        <v>3605</v>
      </c>
      <c r="AH89" s="131">
        <f t="shared" si="94"/>
        <v>3.6278919985106017E-2</v>
      </c>
      <c r="AI89" s="130">
        <v>108332</v>
      </c>
      <c r="AJ89" s="130">
        <v>103422</v>
      </c>
      <c r="AK89" s="130">
        <f t="shared" si="95"/>
        <v>5358</v>
      </c>
      <c r="AL89" s="134">
        <f t="shared" si="96"/>
        <v>5.2032551906306443E-2</v>
      </c>
      <c r="AM89" s="130">
        <f t="shared" si="97"/>
        <v>448</v>
      </c>
      <c r="AN89" s="134">
        <f t="shared" si="98"/>
        <v>4.3506127760405541E-3</v>
      </c>
      <c r="AO89" s="108">
        <v>112146</v>
      </c>
      <c r="AP89" s="108">
        <f t="shared" si="99"/>
        <v>9172</v>
      </c>
      <c r="AQ89" s="131">
        <f t="shared" si="100"/>
        <v>8.9071027638044559E-2</v>
      </c>
      <c r="AR89" s="130">
        <v>115395</v>
      </c>
      <c r="AS89" s="132">
        <f t="shared" si="101"/>
        <v>12421</v>
      </c>
      <c r="AT89" s="131">
        <f t="shared" si="102"/>
        <v>0.1206226814535708</v>
      </c>
      <c r="AU89" s="108">
        <v>122805</v>
      </c>
      <c r="AV89" s="108">
        <f t="shared" si="103"/>
        <v>111525</v>
      </c>
      <c r="AW89" s="108">
        <f t="shared" si="104"/>
        <v>-621</v>
      </c>
      <c r="AX89" s="131">
        <f t="shared" si="105"/>
        <v>-5.5374244288695093E-3</v>
      </c>
      <c r="AY89" s="108">
        <v>111525</v>
      </c>
      <c r="AZ89" s="108">
        <f t="shared" si="106"/>
        <v>-621</v>
      </c>
      <c r="BA89" s="131">
        <f t="shared" si="107"/>
        <v>-5.5374244288695093E-3</v>
      </c>
      <c r="BB89" s="112">
        <f t="shared" si="108"/>
        <v>0</v>
      </c>
      <c r="BC89" s="108">
        <v>112512</v>
      </c>
      <c r="BD89" s="108">
        <f t="shared" si="109"/>
        <v>987</v>
      </c>
      <c r="BE89" s="134">
        <f t="shared" si="110"/>
        <v>8.8500336247478145E-3</v>
      </c>
      <c r="BF89" s="108">
        <v>107213</v>
      </c>
      <c r="BG89" s="108">
        <v>115831</v>
      </c>
      <c r="BH89" s="108">
        <v>117306</v>
      </c>
      <c r="BI89" s="108">
        <v>124903</v>
      </c>
      <c r="BJ89" s="108">
        <v>124903</v>
      </c>
      <c r="BK89" s="108">
        <v>124903</v>
      </c>
      <c r="BL89" s="108">
        <v>130140</v>
      </c>
      <c r="BM89" s="108">
        <v>124355.87</v>
      </c>
      <c r="BN89" s="108">
        <v>118849</v>
      </c>
      <c r="BO89" s="108">
        <v>11290</v>
      </c>
      <c r="BP89" s="108">
        <f t="shared" si="111"/>
        <v>-6054</v>
      </c>
      <c r="BQ89" s="134">
        <f t="shared" si="112"/>
        <v>-4.8469612419237328E-2</v>
      </c>
      <c r="BR89" s="111">
        <f t="shared" si="113"/>
        <v>-107559</v>
      </c>
      <c r="BS89" s="108">
        <v>114844.42</v>
      </c>
      <c r="BT89" s="108">
        <v>120864</v>
      </c>
      <c r="BU89" s="108">
        <v>117494.08</v>
      </c>
      <c r="BV89" s="108">
        <v>120935</v>
      </c>
      <c r="BW89" s="108">
        <v>123093</v>
      </c>
      <c r="BX89" s="108">
        <v>118589.99</v>
      </c>
      <c r="BY89" s="108">
        <f t="shared" si="114"/>
        <v>123093</v>
      </c>
      <c r="BZ89" s="108">
        <v>143366.54999999999</v>
      </c>
      <c r="CA89" s="108">
        <v>127410.07</v>
      </c>
      <c r="CB89" s="108">
        <v>130469.8</v>
      </c>
      <c r="CC89" s="108">
        <f t="shared" si="115"/>
        <v>130469.8</v>
      </c>
      <c r="CD89" s="108">
        <v>121748.43</v>
      </c>
      <c r="CE89" s="108">
        <f>CC89</f>
        <v>130469.8</v>
      </c>
      <c r="CF89" s="108">
        <v>140283.6</v>
      </c>
    </row>
    <row r="90" spans="1:84" ht="12.75" customHeight="1" x14ac:dyDescent="0.4">
      <c r="A90" s="124"/>
      <c r="B90" s="124">
        <f t="shared" si="116"/>
        <v>51</v>
      </c>
      <c r="C90" s="110" t="s">
        <v>326</v>
      </c>
      <c r="D90" s="106"/>
      <c r="E90" s="106"/>
      <c r="F90" s="128"/>
      <c r="G90" s="106"/>
      <c r="H90" s="106"/>
      <c r="I90" s="129"/>
      <c r="J90" s="130"/>
      <c r="K90" s="130"/>
      <c r="L90" s="130"/>
      <c r="M90" s="130"/>
      <c r="N90" s="129"/>
      <c r="O90" s="138"/>
      <c r="Q90" s="130"/>
      <c r="R90" s="164"/>
      <c r="S90" s="164"/>
      <c r="T90" s="130">
        <v>1250</v>
      </c>
      <c r="U90" s="132"/>
      <c r="V90" s="132"/>
      <c r="W90" s="132"/>
      <c r="X90" s="132"/>
      <c r="Y90" s="130">
        <v>2500</v>
      </c>
      <c r="Z90" s="130">
        <v>2500</v>
      </c>
      <c r="AA90" s="130">
        <v>2500</v>
      </c>
      <c r="AB90" s="132">
        <f t="shared" si="89"/>
        <v>1250</v>
      </c>
      <c r="AC90" s="132"/>
      <c r="AD90" s="131">
        <f t="shared" si="90"/>
        <v>1</v>
      </c>
      <c r="AE90" s="133">
        <f t="shared" si="91"/>
        <v>1250</v>
      </c>
      <c r="AF90" s="131">
        <f t="shared" si="92"/>
        <v>1</v>
      </c>
      <c r="AG90" s="133">
        <f t="shared" si="93"/>
        <v>1250</v>
      </c>
      <c r="AH90" s="131">
        <f t="shared" si="94"/>
        <v>1</v>
      </c>
      <c r="AI90" s="130">
        <v>2500</v>
      </c>
      <c r="AJ90" s="130">
        <v>2500</v>
      </c>
      <c r="AK90" s="130">
        <f t="shared" si="95"/>
        <v>0</v>
      </c>
      <c r="AL90" s="134">
        <f t="shared" si="96"/>
        <v>0</v>
      </c>
      <c r="AM90" s="130">
        <f t="shared" si="97"/>
        <v>0</v>
      </c>
      <c r="AN90" s="134">
        <f t="shared" si="98"/>
        <v>0</v>
      </c>
      <c r="AO90" s="108">
        <v>2443</v>
      </c>
      <c r="AP90" s="108">
        <f t="shared" si="99"/>
        <v>-57</v>
      </c>
      <c r="AQ90" s="131">
        <f t="shared" si="100"/>
        <v>-2.2800000000000001E-2</v>
      </c>
      <c r="AR90" s="130">
        <v>2500</v>
      </c>
      <c r="AS90" s="132">
        <f t="shared" si="101"/>
        <v>0</v>
      </c>
      <c r="AT90" s="131">
        <f t="shared" si="102"/>
        <v>0</v>
      </c>
      <c r="AU90" s="108">
        <v>2500</v>
      </c>
      <c r="AV90" s="108">
        <f t="shared" si="103"/>
        <v>2500</v>
      </c>
      <c r="AW90" s="108">
        <f t="shared" si="104"/>
        <v>57</v>
      </c>
      <c r="AX90" s="131">
        <f t="shared" si="105"/>
        <v>2.3331968890708144E-2</v>
      </c>
      <c r="AY90" s="108">
        <v>2500</v>
      </c>
      <c r="AZ90" s="108">
        <f t="shared" si="106"/>
        <v>57</v>
      </c>
      <c r="BA90" s="131">
        <f t="shared" si="107"/>
        <v>2.3331968890708144E-2</v>
      </c>
      <c r="BB90" s="112">
        <f t="shared" si="108"/>
        <v>0</v>
      </c>
      <c r="BC90" s="108">
        <v>2500</v>
      </c>
      <c r="BD90" s="108">
        <f t="shared" si="109"/>
        <v>0</v>
      </c>
      <c r="BE90" s="134">
        <f t="shared" si="110"/>
        <v>0</v>
      </c>
      <c r="BF90" s="108">
        <f>BC90</f>
        <v>2500</v>
      </c>
      <c r="BG90" s="108">
        <v>2500</v>
      </c>
      <c r="BH90" s="108">
        <v>2500</v>
      </c>
      <c r="BI90" s="108">
        <v>2500</v>
      </c>
      <c r="BJ90" s="108">
        <v>0</v>
      </c>
      <c r="BK90" s="108">
        <v>0</v>
      </c>
      <c r="BL90" s="108">
        <v>0</v>
      </c>
      <c r="BM90" s="108">
        <v>0</v>
      </c>
      <c r="BN90" s="108">
        <v>0</v>
      </c>
      <c r="BO90" s="108">
        <v>0</v>
      </c>
      <c r="BP90" s="108">
        <f t="shared" si="111"/>
        <v>0</v>
      </c>
      <c r="BQ90" s="134" t="e">
        <f t="shared" si="112"/>
        <v>#DIV/0!</v>
      </c>
      <c r="BR90" s="111">
        <f t="shared" si="113"/>
        <v>0</v>
      </c>
      <c r="BS90" s="108">
        <v>0</v>
      </c>
      <c r="BT90" s="108">
        <v>0</v>
      </c>
      <c r="BU90" s="108">
        <v>0</v>
      </c>
      <c r="BV90" s="108">
        <v>0</v>
      </c>
      <c r="BW90" s="108">
        <v>0</v>
      </c>
      <c r="BX90" s="108">
        <v>0</v>
      </c>
      <c r="BY90" s="108">
        <f t="shared" si="114"/>
        <v>0</v>
      </c>
      <c r="BZ90" s="108">
        <v>0</v>
      </c>
      <c r="CA90" s="108">
        <v>0</v>
      </c>
      <c r="CB90" s="108">
        <v>0</v>
      </c>
      <c r="CC90" s="108">
        <f t="shared" si="115"/>
        <v>0</v>
      </c>
      <c r="CD90" s="108">
        <v>0</v>
      </c>
      <c r="CE90" s="108">
        <f>CC90</f>
        <v>0</v>
      </c>
      <c r="CF90" s="108">
        <v>0</v>
      </c>
    </row>
    <row r="91" spans="1:84" ht="12.75" customHeight="1" x14ac:dyDescent="0.4">
      <c r="A91" s="124" t="s">
        <v>327</v>
      </c>
      <c r="B91" s="124">
        <f t="shared" si="116"/>
        <v>52</v>
      </c>
      <c r="C91" s="110" t="s">
        <v>328</v>
      </c>
      <c r="D91" s="106">
        <v>10338</v>
      </c>
      <c r="E91" s="106">
        <v>8713</v>
      </c>
      <c r="F91" s="128">
        <v>8583</v>
      </c>
      <c r="G91" s="106">
        <v>12584</v>
      </c>
      <c r="H91" s="106">
        <v>11693</v>
      </c>
      <c r="I91" s="129"/>
      <c r="J91" s="130">
        <v>11346</v>
      </c>
      <c r="K91" s="130">
        <f>J91</f>
        <v>11346</v>
      </c>
      <c r="L91" s="130">
        <v>16949</v>
      </c>
      <c r="M91" s="130">
        <v>13053</v>
      </c>
      <c r="N91" s="129">
        <f>M91-L91</f>
        <v>-3896</v>
      </c>
      <c r="O91" s="138">
        <f>N91/L91</f>
        <v>-0.22986606879461915</v>
      </c>
      <c r="Q91" s="130">
        <v>16037</v>
      </c>
      <c r="R91" s="164">
        <v>12991</v>
      </c>
      <c r="S91" s="164">
        <v>17000</v>
      </c>
      <c r="T91" s="130">
        <v>13202</v>
      </c>
      <c r="U91" s="132">
        <f>S91-R91</f>
        <v>4009</v>
      </c>
      <c r="V91" s="132">
        <f>U91/Q91</f>
        <v>0.24998441104944816</v>
      </c>
      <c r="W91" s="132"/>
      <c r="X91" s="132"/>
      <c r="Y91" s="130">
        <v>17849</v>
      </c>
      <c r="Z91" s="130">
        <v>17849</v>
      </c>
      <c r="AA91" s="130">
        <v>13950</v>
      </c>
      <c r="AB91" s="132">
        <f t="shared" si="89"/>
        <v>4647</v>
      </c>
      <c r="AC91" s="132">
        <f>T91-S91</f>
        <v>-3798</v>
      </c>
      <c r="AD91" s="131">
        <f t="shared" si="90"/>
        <v>0.35199212240569611</v>
      </c>
      <c r="AE91" s="133">
        <f t="shared" si="91"/>
        <v>4647</v>
      </c>
      <c r="AF91" s="131">
        <f t="shared" si="92"/>
        <v>0.35199212240569611</v>
      </c>
      <c r="AG91" s="133">
        <f t="shared" si="93"/>
        <v>748</v>
      </c>
      <c r="AH91" s="131">
        <f t="shared" si="94"/>
        <v>5.66580821087714E-2</v>
      </c>
      <c r="AI91" s="130">
        <v>18200</v>
      </c>
      <c r="AJ91" s="130">
        <v>17849</v>
      </c>
      <c r="AK91" s="130">
        <f t="shared" si="95"/>
        <v>4250</v>
      </c>
      <c r="AL91" s="134">
        <f t="shared" si="96"/>
        <v>0.30465949820788529</v>
      </c>
      <c r="AM91" s="130">
        <f t="shared" si="97"/>
        <v>3899</v>
      </c>
      <c r="AN91" s="134">
        <f t="shared" si="98"/>
        <v>0.27949820788530466</v>
      </c>
      <c r="AO91" s="108">
        <v>9633</v>
      </c>
      <c r="AP91" s="108">
        <f t="shared" si="99"/>
        <v>-4317</v>
      </c>
      <c r="AQ91" s="131">
        <f t="shared" si="100"/>
        <v>-0.30946236559139784</v>
      </c>
      <c r="AR91" s="130">
        <v>17849</v>
      </c>
      <c r="AS91" s="132">
        <f t="shared" si="101"/>
        <v>3899</v>
      </c>
      <c r="AT91" s="131">
        <f t="shared" si="102"/>
        <v>0.27949820788530466</v>
      </c>
      <c r="AU91" s="108">
        <v>17849</v>
      </c>
      <c r="AV91" s="108">
        <f t="shared" si="103"/>
        <v>7084</v>
      </c>
      <c r="AW91" s="108">
        <f t="shared" si="104"/>
        <v>-2549</v>
      </c>
      <c r="AX91" s="131">
        <f t="shared" si="105"/>
        <v>-0.26461123222256827</v>
      </c>
      <c r="AY91" s="108">
        <v>7084</v>
      </c>
      <c r="AZ91" s="108">
        <f t="shared" si="106"/>
        <v>-2549</v>
      </c>
      <c r="BA91" s="131">
        <f t="shared" si="107"/>
        <v>-0.26461123222256827</v>
      </c>
      <c r="BB91" s="112">
        <f t="shared" si="108"/>
        <v>0</v>
      </c>
      <c r="BC91" s="108">
        <v>8000</v>
      </c>
      <c r="BD91" s="108">
        <f t="shared" si="109"/>
        <v>916</v>
      </c>
      <c r="BE91" s="134">
        <f t="shared" si="110"/>
        <v>0.12930547713156409</v>
      </c>
      <c r="BF91" s="108">
        <v>13037</v>
      </c>
      <c r="BG91" s="108">
        <v>15000</v>
      </c>
      <c r="BH91" s="108">
        <v>21150</v>
      </c>
      <c r="BI91" s="108">
        <v>15000</v>
      </c>
      <c r="BJ91" s="108">
        <v>15000</v>
      </c>
      <c r="BK91" s="108">
        <v>15000</v>
      </c>
      <c r="BL91" s="108">
        <v>15000</v>
      </c>
      <c r="BM91" s="108">
        <f>5736+6535</f>
        <v>12271</v>
      </c>
      <c r="BN91" s="108">
        <v>15000</v>
      </c>
      <c r="BO91" s="108">
        <v>0</v>
      </c>
      <c r="BP91" s="108">
        <f t="shared" si="111"/>
        <v>0</v>
      </c>
      <c r="BQ91" s="134">
        <f t="shared" si="112"/>
        <v>0</v>
      </c>
      <c r="BR91" s="111">
        <f t="shared" si="113"/>
        <v>-15000</v>
      </c>
      <c r="BS91" s="108">
        <f>5880+7203.8</f>
        <v>13083.8</v>
      </c>
      <c r="BT91" s="108">
        <v>15000</v>
      </c>
      <c r="BU91" s="108">
        <f>5763.2+7515.8</f>
        <v>13279</v>
      </c>
      <c r="BV91" s="108">
        <v>15000</v>
      </c>
      <c r="BW91" s="108">
        <v>15000</v>
      </c>
      <c r="BX91" s="108">
        <f>6991.2+11231</f>
        <v>18222.2</v>
      </c>
      <c r="BY91" s="108">
        <f t="shared" si="114"/>
        <v>15000</v>
      </c>
      <c r="BZ91" s="108">
        <f>7036+10281.4</f>
        <v>17317.400000000001</v>
      </c>
      <c r="CA91" s="108">
        <v>15000</v>
      </c>
      <c r="CB91" s="108">
        <v>15000</v>
      </c>
      <c r="CC91" s="108">
        <f t="shared" si="115"/>
        <v>15000</v>
      </c>
      <c r="CD91" s="108">
        <f>7112+11271.2</f>
        <v>18383.2</v>
      </c>
      <c r="CE91" s="108">
        <v>0</v>
      </c>
      <c r="CF91" s="108">
        <v>0</v>
      </c>
    </row>
    <row r="92" spans="1:84" ht="12.75" customHeight="1" x14ac:dyDescent="0.4">
      <c r="A92" s="124">
        <v>292</v>
      </c>
      <c r="B92" s="124">
        <f t="shared" si="116"/>
        <v>53</v>
      </c>
      <c r="C92" s="110" t="s">
        <v>329</v>
      </c>
      <c r="D92" s="106">
        <v>23200</v>
      </c>
      <c r="E92" s="106">
        <v>24167</v>
      </c>
      <c r="F92" s="128">
        <v>27673</v>
      </c>
      <c r="G92" s="106">
        <v>24068</v>
      </c>
      <c r="H92" s="106">
        <v>23990</v>
      </c>
      <c r="I92" s="129"/>
      <c r="J92" s="130">
        <v>25590</v>
      </c>
      <c r="K92" s="130">
        <v>24180</v>
      </c>
      <c r="L92" s="130">
        <v>23817</v>
      </c>
      <c r="M92" s="130">
        <v>23817</v>
      </c>
      <c r="N92" s="129">
        <f>M92-L92</f>
        <v>0</v>
      </c>
      <c r="O92" s="138">
        <f>N92/L92</f>
        <v>0</v>
      </c>
      <c r="Q92" s="130">
        <v>23554.02</v>
      </c>
      <c r="R92" s="164">
        <v>25839.279999999999</v>
      </c>
      <c r="S92" s="164">
        <v>23817</v>
      </c>
      <c r="T92" s="130">
        <v>22302</v>
      </c>
      <c r="U92" s="132">
        <f>S92-R92</f>
        <v>-2022.2799999999988</v>
      </c>
      <c r="V92" s="132">
        <f>U92/Q92</f>
        <v>-8.5857106345328685E-2</v>
      </c>
      <c r="W92" s="132"/>
      <c r="X92" s="132"/>
      <c r="Y92" s="130">
        <f>T92</f>
        <v>22302</v>
      </c>
      <c r="Z92" s="130">
        <v>23817</v>
      </c>
      <c r="AA92" s="130">
        <v>24131</v>
      </c>
      <c r="AB92" s="132">
        <f t="shared" si="89"/>
        <v>0</v>
      </c>
      <c r="AC92" s="132">
        <f>T92-S92</f>
        <v>-1515</v>
      </c>
      <c r="AD92" s="131">
        <f t="shared" si="90"/>
        <v>0</v>
      </c>
      <c r="AE92" s="133">
        <f t="shared" si="91"/>
        <v>1515</v>
      </c>
      <c r="AF92" s="131">
        <f t="shared" si="92"/>
        <v>6.7931127253161153E-2</v>
      </c>
      <c r="AG92" s="133">
        <f t="shared" si="93"/>
        <v>1829</v>
      </c>
      <c r="AH92" s="131">
        <f t="shared" si="94"/>
        <v>8.2010582010582006E-2</v>
      </c>
      <c r="AI92" s="130">
        <v>25008</v>
      </c>
      <c r="AJ92" s="130">
        <v>23817</v>
      </c>
      <c r="AK92" s="130">
        <f t="shared" si="95"/>
        <v>877</v>
      </c>
      <c r="AL92" s="134">
        <f t="shared" si="96"/>
        <v>3.6343292859806885E-2</v>
      </c>
      <c r="AM92" s="130">
        <f t="shared" si="97"/>
        <v>-314</v>
      </c>
      <c r="AN92" s="134">
        <f t="shared" si="98"/>
        <v>-1.3012307819816833E-2</v>
      </c>
      <c r="AO92" s="108">
        <v>23794</v>
      </c>
      <c r="AP92" s="108">
        <f t="shared" si="99"/>
        <v>-337</v>
      </c>
      <c r="AQ92" s="131">
        <f t="shared" si="100"/>
        <v>-1.3965438647383034E-2</v>
      </c>
      <c r="AR92" s="130">
        <v>23817</v>
      </c>
      <c r="AS92" s="132">
        <f t="shared" si="101"/>
        <v>-314</v>
      </c>
      <c r="AT92" s="131">
        <f t="shared" si="102"/>
        <v>-1.3012307819816833E-2</v>
      </c>
      <c r="AU92" s="108">
        <v>23817</v>
      </c>
      <c r="AV92" s="108">
        <f t="shared" si="103"/>
        <v>23824</v>
      </c>
      <c r="AW92" s="108">
        <f t="shared" si="104"/>
        <v>30</v>
      </c>
      <c r="AX92" s="131">
        <f t="shared" si="105"/>
        <v>1.2608220559804993E-3</v>
      </c>
      <c r="AY92" s="108">
        <v>23824</v>
      </c>
      <c r="AZ92" s="108">
        <f t="shared" si="106"/>
        <v>30</v>
      </c>
      <c r="BA92" s="131">
        <f t="shared" si="107"/>
        <v>1.2608220559804993E-3</v>
      </c>
      <c r="BB92" s="112">
        <f t="shared" si="108"/>
        <v>0</v>
      </c>
      <c r="BC92" s="108">
        <v>24180</v>
      </c>
      <c r="BD92" s="108">
        <f t="shared" si="109"/>
        <v>356</v>
      </c>
      <c r="BE92" s="134">
        <f t="shared" si="110"/>
        <v>1.4942914707857623E-2</v>
      </c>
      <c r="BF92" s="108">
        <v>24159</v>
      </c>
      <c r="BG92" s="108">
        <v>24580</v>
      </c>
      <c r="BH92" s="108">
        <v>24453</v>
      </c>
      <c r="BI92" s="108">
        <v>24580</v>
      </c>
      <c r="BJ92" s="108">
        <v>24580</v>
      </c>
      <c r="BK92" s="108">
        <v>24580</v>
      </c>
      <c r="BL92" s="108">
        <v>24580</v>
      </c>
      <c r="BM92" s="108">
        <v>24569.93</v>
      </c>
      <c r="BN92" s="108">
        <v>24580</v>
      </c>
      <c r="BO92" s="108">
        <v>0</v>
      </c>
      <c r="BP92" s="108">
        <f t="shared" si="111"/>
        <v>0</v>
      </c>
      <c r="BQ92" s="134">
        <f t="shared" si="112"/>
        <v>0</v>
      </c>
      <c r="BR92" s="111">
        <f t="shared" si="113"/>
        <v>-24580</v>
      </c>
      <c r="BS92" s="108">
        <v>24570.73</v>
      </c>
      <c r="BT92" s="108">
        <v>24080</v>
      </c>
      <c r="BU92" s="108">
        <v>24080</v>
      </c>
      <c r="BV92" s="108">
        <v>24330</v>
      </c>
      <c r="BW92" s="108">
        <v>25300</v>
      </c>
      <c r="BX92" s="108">
        <v>24464.63</v>
      </c>
      <c r="BY92" s="108">
        <f t="shared" si="114"/>
        <v>25300</v>
      </c>
      <c r="BZ92" s="108">
        <v>25299.57</v>
      </c>
      <c r="CA92" s="108">
        <v>40000</v>
      </c>
      <c r="CB92" s="108">
        <v>40000</v>
      </c>
      <c r="CC92" s="108">
        <f t="shared" si="115"/>
        <v>40000</v>
      </c>
      <c r="CD92" s="108">
        <f>51195.18+293.5</f>
        <v>51488.68</v>
      </c>
      <c r="CE92" s="108">
        <f>CC92</f>
        <v>40000</v>
      </c>
      <c r="CF92" s="108">
        <v>40000</v>
      </c>
    </row>
    <row r="93" spans="1:84" x14ac:dyDescent="0.4">
      <c r="A93" s="124" t="s">
        <v>134</v>
      </c>
      <c r="B93" s="124"/>
      <c r="C93" s="110"/>
      <c r="D93" s="106"/>
      <c r="E93" s="106"/>
      <c r="F93" s="128"/>
      <c r="G93" s="112"/>
      <c r="H93" s="112"/>
      <c r="I93" s="140"/>
      <c r="N93" s="129"/>
      <c r="O93" s="138"/>
      <c r="R93" s="164"/>
      <c r="S93" s="164"/>
      <c r="T93" s="130"/>
      <c r="U93" s="132"/>
      <c r="V93" s="132"/>
      <c r="W93" s="132"/>
      <c r="X93" s="132"/>
      <c r="Y93" s="130"/>
      <c r="Z93" s="130"/>
      <c r="AA93" s="130"/>
      <c r="AB93" s="132"/>
      <c r="AC93" s="132"/>
      <c r="AU93" s="108"/>
      <c r="AV93" s="108"/>
      <c r="AW93" s="108"/>
      <c r="AX93" s="108"/>
      <c r="AY93" s="108"/>
    </row>
    <row r="94" spans="1:84" x14ac:dyDescent="0.4">
      <c r="A94" s="124" t="s">
        <v>134</v>
      </c>
      <c r="B94" s="124"/>
      <c r="C94" s="176" t="s">
        <v>330</v>
      </c>
      <c r="D94" s="132">
        <f>SUM(D86:D92)</f>
        <v>103381</v>
      </c>
      <c r="E94" s="132">
        <f>SUM(E86:E92)</f>
        <v>108106</v>
      </c>
      <c r="F94" s="132">
        <f>SUM(F86:F92)</f>
        <v>114869</v>
      </c>
      <c r="G94" s="132">
        <f>SUM(G86:G92)</f>
        <v>123477</v>
      </c>
      <c r="H94" s="132">
        <f>SUM(H86:H92)</f>
        <v>131014</v>
      </c>
      <c r="I94" s="132" t="e">
        <f>#REF!-G94</f>
        <v>#REF!</v>
      </c>
      <c r="J94" s="132">
        <f>SUM(J86:J92)</f>
        <v>143865</v>
      </c>
      <c r="K94" s="132">
        <f>SUM(K86:K92)</f>
        <v>144173</v>
      </c>
      <c r="L94" s="132">
        <f>SUM(L86:L92)</f>
        <v>149049</v>
      </c>
      <c r="M94" s="132">
        <f>SUM(M86:M92)</f>
        <v>138287</v>
      </c>
      <c r="N94" s="132">
        <f>SUM(N86:N92)</f>
        <v>-10762</v>
      </c>
      <c r="O94" s="131">
        <f>N94/L94</f>
        <v>-7.2204442834235716E-2</v>
      </c>
      <c r="Q94" s="132">
        <f t="shared" ref="Q94:AJ94" si="117">SUM(Q86:Q92)</f>
        <v>147375.93</v>
      </c>
      <c r="R94" s="164">
        <f t="shared" si="117"/>
        <v>152309</v>
      </c>
      <c r="S94" s="164">
        <f t="shared" si="117"/>
        <v>157028</v>
      </c>
      <c r="T94" s="130">
        <f t="shared" si="117"/>
        <v>158730</v>
      </c>
      <c r="U94" s="130">
        <f t="shared" si="117"/>
        <v>4719.0000000000036</v>
      </c>
      <c r="V94" s="130">
        <f t="shared" si="117"/>
        <v>-6.3238046871165673E-2</v>
      </c>
      <c r="W94" s="130">
        <f t="shared" si="117"/>
        <v>0</v>
      </c>
      <c r="X94" s="130">
        <f t="shared" si="117"/>
        <v>0</v>
      </c>
      <c r="Y94" s="130">
        <f t="shared" si="117"/>
        <v>171110</v>
      </c>
      <c r="Z94" s="130">
        <f t="shared" si="117"/>
        <v>172625</v>
      </c>
      <c r="AA94" s="130">
        <f t="shared" si="117"/>
        <v>165378</v>
      </c>
      <c r="AB94" s="130">
        <f t="shared" si="117"/>
        <v>12380</v>
      </c>
      <c r="AC94" s="130">
        <f t="shared" si="117"/>
        <v>452</v>
      </c>
      <c r="AD94" s="130">
        <f t="shared" si="117"/>
        <v>1.4889343583921562</v>
      </c>
      <c r="AE94" s="130">
        <f t="shared" si="117"/>
        <v>13895</v>
      </c>
      <c r="AF94" s="130">
        <f t="shared" si="117"/>
        <v>1.5568654856453172</v>
      </c>
      <c r="AG94" s="130">
        <f t="shared" si="117"/>
        <v>6648</v>
      </c>
      <c r="AH94" s="130">
        <f t="shared" si="117"/>
        <v>0.99793299372126454</v>
      </c>
      <c r="AI94" s="130">
        <f t="shared" si="117"/>
        <v>179947</v>
      </c>
      <c r="AJ94" s="130">
        <f t="shared" si="117"/>
        <v>173245</v>
      </c>
      <c r="AK94" s="130">
        <f>AI94-AA94</f>
        <v>14569</v>
      </c>
      <c r="AL94" s="134">
        <f>AK94/AA94</f>
        <v>8.8095151713045272E-2</v>
      </c>
      <c r="AM94" s="130">
        <f>AJ94-AA94</f>
        <v>7867</v>
      </c>
      <c r="AN94" s="134">
        <f>AM94/AA94</f>
        <v>4.7569809769134955E-2</v>
      </c>
      <c r="AO94" s="130">
        <f>SUM(AO86:AO92)</f>
        <v>165351</v>
      </c>
      <c r="AP94" s="108">
        <f>AO94-AA94</f>
        <v>-27</v>
      </c>
      <c r="AQ94" s="131">
        <f>AP94/AA94</f>
        <v>-1.6326234444726627E-4</v>
      </c>
      <c r="AR94" s="130">
        <f>SUM(AR86:AR92)</f>
        <v>185218</v>
      </c>
      <c r="AS94" s="132">
        <f>AR94-AA94</f>
        <v>19840</v>
      </c>
      <c r="AT94" s="131">
        <f>AS94/AA94</f>
        <v>0.11996758940125046</v>
      </c>
      <c r="AU94" s="130">
        <f>SUM(AU86:AU92)</f>
        <v>192828</v>
      </c>
      <c r="AV94" s="108">
        <f>AY94</f>
        <v>160171</v>
      </c>
      <c r="AW94" s="108">
        <f>AV94-AO94</f>
        <v>-5180</v>
      </c>
      <c r="AX94" s="131">
        <f>AW94/AO94</f>
        <v>-3.1327297687948667E-2</v>
      </c>
      <c r="AY94" s="130">
        <f>SUM(AY86:AY92)</f>
        <v>160171</v>
      </c>
      <c r="AZ94" s="108">
        <f>AY94-AO94</f>
        <v>-5180</v>
      </c>
      <c r="BA94" s="131">
        <f>AZ94/AO94</f>
        <v>-3.1327297687948667E-2</v>
      </c>
      <c r="BB94" s="112">
        <f>+AV94-AY94</f>
        <v>0</v>
      </c>
      <c r="BC94" s="108">
        <f>SUM(BC86:BC92)</f>
        <v>163692</v>
      </c>
      <c r="BD94" s="108">
        <f>BC94-AY94</f>
        <v>3521</v>
      </c>
      <c r="BE94" s="134">
        <f>BD94/AY94</f>
        <v>2.198275592960024E-2</v>
      </c>
      <c r="BF94" s="108">
        <f t="shared" ref="BF94:BO94" si="118">SUM(BF86:BF92)</f>
        <v>168274</v>
      </c>
      <c r="BG94" s="108">
        <f t="shared" si="118"/>
        <v>182261</v>
      </c>
      <c r="BH94" s="108">
        <f t="shared" si="118"/>
        <v>195891</v>
      </c>
      <c r="BI94" s="108">
        <f t="shared" si="118"/>
        <v>193583</v>
      </c>
      <c r="BJ94" s="108">
        <f t="shared" si="118"/>
        <v>191083</v>
      </c>
      <c r="BK94" s="108">
        <f t="shared" si="118"/>
        <v>191083</v>
      </c>
      <c r="BL94" s="108">
        <f t="shared" si="118"/>
        <v>197070</v>
      </c>
      <c r="BM94" s="108">
        <f t="shared" si="118"/>
        <v>189782</v>
      </c>
      <c r="BN94" s="108">
        <f t="shared" si="118"/>
        <v>183279</v>
      </c>
      <c r="BO94" s="108">
        <f t="shared" si="118"/>
        <v>11290</v>
      </c>
      <c r="BP94" s="108">
        <f>BN94-BK94</f>
        <v>-7804</v>
      </c>
      <c r="BQ94" s="134">
        <f>BP94/BK94</f>
        <v>-4.0840891131079166E-2</v>
      </c>
      <c r="BS94" s="108">
        <f t="shared" ref="BS94:CF94" si="119">SUM(BS86:BS92)</f>
        <v>195925.75999999998</v>
      </c>
      <c r="BT94" s="108">
        <f t="shared" si="119"/>
        <v>184694</v>
      </c>
      <c r="BU94" s="108">
        <f t="shared" si="119"/>
        <v>186373.57</v>
      </c>
      <c r="BV94" s="108">
        <f t="shared" si="119"/>
        <v>187265</v>
      </c>
      <c r="BW94" s="108">
        <f t="shared" si="119"/>
        <v>190493</v>
      </c>
      <c r="BX94" s="108">
        <f t="shared" si="119"/>
        <v>198086.63</v>
      </c>
      <c r="BY94" s="108">
        <f t="shared" si="119"/>
        <v>190493</v>
      </c>
      <c r="BZ94" s="108">
        <f t="shared" si="119"/>
        <v>221361.87999999998</v>
      </c>
      <c r="CA94" s="108">
        <f t="shared" si="119"/>
        <v>213210.07</v>
      </c>
      <c r="CB94" s="108">
        <f t="shared" si="119"/>
        <v>216269.8</v>
      </c>
      <c r="CC94" s="108">
        <f t="shared" si="119"/>
        <v>216269.8</v>
      </c>
      <c r="CD94" s="108">
        <f t="shared" si="119"/>
        <v>235063.85</v>
      </c>
      <c r="CE94" s="108">
        <f t="shared" si="119"/>
        <v>181269.8</v>
      </c>
      <c r="CF94" s="108">
        <f t="shared" si="119"/>
        <v>191083.6</v>
      </c>
    </row>
    <row r="95" spans="1:84" x14ac:dyDescent="0.4">
      <c r="A95" s="124" t="s">
        <v>134</v>
      </c>
      <c r="B95" s="124"/>
      <c r="C95" s="110"/>
      <c r="D95" s="106"/>
      <c r="E95" s="106"/>
      <c r="F95" s="132"/>
      <c r="G95" s="112"/>
      <c r="H95" s="112"/>
      <c r="I95" s="140"/>
      <c r="N95" s="129"/>
      <c r="O95" s="138"/>
      <c r="R95" s="164"/>
      <c r="S95" s="164"/>
      <c r="T95" s="130"/>
      <c r="U95" s="132"/>
      <c r="V95" s="132"/>
      <c r="W95" s="132"/>
      <c r="X95" s="132"/>
      <c r="Y95" s="130"/>
      <c r="Z95" s="130"/>
      <c r="AA95" s="130"/>
      <c r="AB95" s="132"/>
      <c r="AC95" s="132"/>
      <c r="AU95" s="108"/>
      <c r="AV95" s="108"/>
      <c r="AW95" s="108"/>
      <c r="AX95" s="108"/>
      <c r="AY95" s="108"/>
      <c r="BC95" s="108"/>
      <c r="BF95" s="108"/>
    </row>
    <row r="96" spans="1:84" x14ac:dyDescent="0.4">
      <c r="A96" s="179" t="s">
        <v>134</v>
      </c>
      <c r="B96" s="179"/>
      <c r="C96" s="176" t="s">
        <v>331</v>
      </c>
      <c r="D96" s="132">
        <f ca="1">SUM(D94+D80+D73)</f>
        <v>1.5510412949887541E+38</v>
      </c>
      <c r="E96" s="132">
        <f ca="1">SUM(E94+E80+E73)</f>
        <v>1.6566623486479624E+38</v>
      </c>
      <c r="F96" s="132">
        <f ca="1">SUM(F94+F80+F73)</f>
        <v>1.7861302425745665E+38</v>
      </c>
      <c r="G96" s="132">
        <f ca="1">SUM(G94+G80+G73)</f>
        <v>1.892808009774123E+38</v>
      </c>
      <c r="H96" s="132">
        <f ca="1">SUM(H94+H80+H73)</f>
        <v>1.9989203033939323E+38</v>
      </c>
      <c r="I96" s="166" t="e">
        <f ca="1">#REF!-G96</f>
        <v>#REF!</v>
      </c>
      <c r="J96" s="132">
        <f ca="1">SUM(J94+J80+J73)</f>
        <v>1.7003397064330414E+38</v>
      </c>
      <c r="K96" s="132">
        <f ca="1">SUM(K94+K80+K73)</f>
        <v>1.780300672406283E+38</v>
      </c>
      <c r="L96" s="132">
        <f ca="1">SUM(L94+L80+L73)</f>
        <v>1.6840348801767619E+38</v>
      </c>
      <c r="M96" s="132">
        <f ca="1">SUM(M94+M80+M73)</f>
        <v>1.6356349661395686E+38</v>
      </c>
      <c r="N96" s="132">
        <f ca="1">M96-L96</f>
        <v>-4.8399914037193226E+36</v>
      </c>
      <c r="O96" s="131">
        <f ca="1">N96/L96</f>
        <v>-2.874044629771149E-2</v>
      </c>
      <c r="Q96" s="132">
        <f t="shared" ref="Q96:AJ96" ca="1" si="120">SUM(Q94+Q80+Q73)</f>
        <v>1.6951561249259126E+38</v>
      </c>
      <c r="R96" s="164">
        <f t="shared" ca="1" si="120"/>
        <v>1.8045893122326311E+38</v>
      </c>
      <c r="S96" s="164">
        <f t="shared" ca="1" si="120"/>
        <v>1.7712853441615555E+38</v>
      </c>
      <c r="T96" s="130">
        <f t="shared" ca="1" si="120"/>
        <v>1.9583670451601038E+38</v>
      </c>
      <c r="U96" s="130">
        <f t="shared" ca="1" si="120"/>
        <v>-3.3303968071075162E+36</v>
      </c>
      <c r="V96" s="130">
        <f t="shared" ca="1" si="120"/>
        <v>-7.4956170457922541E+32</v>
      </c>
      <c r="W96" s="130">
        <f t="shared" ca="1" si="120"/>
        <v>0</v>
      </c>
      <c r="X96" s="130">
        <f t="shared" ca="1" si="120"/>
        <v>0</v>
      </c>
      <c r="Y96" s="130">
        <f t="shared" ca="1" si="120"/>
        <v>2.442115697773437E+38</v>
      </c>
      <c r="Z96" s="130">
        <f t="shared" ca="1" si="120"/>
        <v>2.1725312392301175E+38</v>
      </c>
      <c r="AA96" s="130">
        <f t="shared" ca="1" si="120"/>
        <v>2.1547224723017272E+38</v>
      </c>
      <c r="AB96" s="130">
        <f t="shared" ca="1" si="120"/>
        <v>4.8374865261333405E+37</v>
      </c>
      <c r="AC96" s="130">
        <f t="shared" ca="1" si="120"/>
        <v>1.8556052027827241E+37</v>
      </c>
      <c r="AD96" s="130">
        <f t="shared" ca="1" si="120"/>
        <v>4.6386585932232263E+32</v>
      </c>
      <c r="AE96" s="130">
        <f t="shared" ca="1" si="120"/>
        <v>2.1416419407001411E+37</v>
      </c>
      <c r="AF96" s="130">
        <f t="shared" ca="1" si="120"/>
        <v>3.4251554229204363E+32</v>
      </c>
      <c r="AG96" s="130">
        <f t="shared" ca="1" si="120"/>
        <v>1.6892874157918188E+37</v>
      </c>
      <c r="AH96" s="130">
        <f t="shared" ca="1" si="120"/>
        <v>2.1460645158472153E+32</v>
      </c>
      <c r="AI96" s="130">
        <f t="shared" ca="1" si="120"/>
        <v>2.8626319102064281E+38</v>
      </c>
      <c r="AJ96" s="130">
        <f t="shared" ca="1" si="120"/>
        <v>2.2369333659723053E+38</v>
      </c>
      <c r="AK96" s="130">
        <f ca="1">AI96-AA96</f>
        <v>7.079094379047009E+37</v>
      </c>
      <c r="AL96" s="134">
        <f ca="1">AK96/AA96</f>
        <v>0.32853856912184831</v>
      </c>
      <c r="AM96" s="130">
        <f ca="1">AJ96-AA96</f>
        <v>8.2210893670578108E+36</v>
      </c>
      <c r="AN96" s="134">
        <f ca="1">AM96/AA96</f>
        <v>3.8153820144994556E-2</v>
      </c>
      <c r="AO96" s="130">
        <f ca="1">SUM(AO94+AO80+AO73)</f>
        <v>2.3481738640363011E+38</v>
      </c>
      <c r="AP96" s="108">
        <f ca="1">AO96-AA96</f>
        <v>1.9345139173457399E+37</v>
      </c>
      <c r="AQ96" s="131">
        <f ca="1">AP96/AA96</f>
        <v>8.9780189431042823E-2</v>
      </c>
      <c r="AR96" s="130">
        <f ca="1">SUM(AR94+AR80+AR73)</f>
        <v>2.6263868652732062E+38</v>
      </c>
      <c r="AS96" s="132">
        <f ca="1">AR96-AA96</f>
        <v>4.7166439297147905E+37</v>
      </c>
      <c r="AT96" s="131">
        <f ca="1">AS96/AA96</f>
        <v>0.21889797829399144</v>
      </c>
      <c r="AU96" s="130">
        <f ca="1">SUM(AU94+AU80+AU73)</f>
        <v>2.6625974567867968E+38</v>
      </c>
      <c r="AV96" s="130">
        <f>SUM(AV94+AV80+AV73)</f>
        <v>1996617</v>
      </c>
      <c r="AW96" s="108">
        <f ca="1">AV96-AO96</f>
        <v>-2.3481738640363011E+38</v>
      </c>
      <c r="AX96" s="131">
        <f ca="1">AW96/AO96</f>
        <v>-1</v>
      </c>
      <c r="AY96" s="130">
        <f>AY94+AY84+AY80+AY73</f>
        <v>2178659</v>
      </c>
      <c r="AZ96" s="108">
        <f ca="1">AY96-AO96</f>
        <v>-2.3481738640363011E+38</v>
      </c>
      <c r="BA96" s="131">
        <f ca="1">AZ96/AO96</f>
        <v>-1</v>
      </c>
      <c r="BB96" s="112">
        <f>+AV96-AY96</f>
        <v>-182042</v>
      </c>
      <c r="BC96" s="108">
        <f ca="1">SUM(BC94+BC80+BC73)</f>
        <v>2.3877858156404242E+38</v>
      </c>
      <c r="BD96" s="108">
        <f ca="1">BC96-AY96</f>
        <v>2.3877858156404242E+38</v>
      </c>
      <c r="BE96" s="134">
        <f ca="1">BD96/AY96</f>
        <v>1.0959887782532394E+32</v>
      </c>
      <c r="BF96" s="130">
        <f t="shared" ref="BF96:CF96" si="121">BF94+BF84+BF80+BF73</f>
        <v>2224335</v>
      </c>
      <c r="BG96" s="130">
        <f t="shared" ca="1" si="121"/>
        <v>2.5220685507828406E+38</v>
      </c>
      <c r="BH96" s="130">
        <f t="shared" si="121"/>
        <v>2319660</v>
      </c>
      <c r="BI96" s="130">
        <f t="shared" ca="1" si="121"/>
        <v>3.3551381016384267E+38</v>
      </c>
      <c r="BJ96" s="130">
        <f t="shared" ca="1" si="121"/>
        <v>2.6584306385578242E+38</v>
      </c>
      <c r="BK96" s="130">
        <f t="shared" ca="1" si="121"/>
        <v>2.6794328708783079E+38</v>
      </c>
      <c r="BL96" s="130">
        <f t="shared" ca="1" si="121"/>
        <v>2.7194762293347025E+38</v>
      </c>
      <c r="BM96" s="130">
        <f t="shared" si="121"/>
        <v>2425055.83</v>
      </c>
      <c r="BN96" s="130">
        <f t="shared" si="121"/>
        <v>2412447</v>
      </c>
      <c r="BO96" s="130">
        <f t="shared" si="121"/>
        <v>48307</v>
      </c>
      <c r="BP96" s="130">
        <f t="shared" ca="1" si="121"/>
        <v>-2.6794328708783079E+38</v>
      </c>
      <c r="BQ96" s="130">
        <f t="shared" ca="1" si="121"/>
        <v>-1.0367063353529959</v>
      </c>
      <c r="BR96" s="130">
        <f t="shared" si="121"/>
        <v>-205079</v>
      </c>
      <c r="BS96" s="130">
        <f t="shared" si="121"/>
        <v>2493833.8400000003</v>
      </c>
      <c r="BT96" s="130">
        <f t="shared" si="121"/>
        <v>2386790</v>
      </c>
      <c r="BU96" s="130">
        <f t="shared" si="121"/>
        <v>2441910.5200000005</v>
      </c>
      <c r="BV96" s="130">
        <f t="shared" si="121"/>
        <v>2441283</v>
      </c>
      <c r="BW96" s="130">
        <f t="shared" si="121"/>
        <v>2638990</v>
      </c>
      <c r="BX96" s="130">
        <f t="shared" si="121"/>
        <v>2512038.5599999996</v>
      </c>
      <c r="BY96" s="130">
        <f t="shared" si="121"/>
        <v>2638990</v>
      </c>
      <c r="BZ96" s="130">
        <f t="shared" si="121"/>
        <v>2673704.08</v>
      </c>
      <c r="CA96" s="130">
        <f t="shared" si="121"/>
        <v>2738631.63</v>
      </c>
      <c r="CB96" s="130">
        <f t="shared" si="121"/>
        <v>2816429.35</v>
      </c>
      <c r="CC96" s="130">
        <f t="shared" si="121"/>
        <v>3657766.3499999996</v>
      </c>
      <c r="CD96" s="130">
        <f t="shared" si="121"/>
        <v>2739256.98</v>
      </c>
      <c r="CE96" s="130">
        <f t="shared" si="121"/>
        <v>2941492.35</v>
      </c>
      <c r="CF96" s="130">
        <f t="shared" si="121"/>
        <v>3197960.2199999997</v>
      </c>
    </row>
    <row r="97" spans="1:84" x14ac:dyDescent="0.4">
      <c r="A97" s="124" t="s">
        <v>134</v>
      </c>
      <c r="B97" s="124"/>
      <c r="C97" s="110"/>
      <c r="D97" s="106"/>
      <c r="E97" s="106"/>
      <c r="F97" s="132"/>
      <c r="G97" s="112"/>
      <c r="H97" s="112"/>
      <c r="I97" s="140"/>
      <c r="N97" s="129"/>
      <c r="T97" s="130"/>
      <c r="U97" s="132"/>
      <c r="V97" s="132"/>
      <c r="W97" s="132"/>
      <c r="X97" s="132"/>
      <c r="Y97" s="130"/>
      <c r="Z97" s="130"/>
      <c r="AA97" s="130"/>
      <c r="AB97" s="132"/>
      <c r="AC97" s="132"/>
      <c r="AP97" s="108"/>
      <c r="AU97" s="108"/>
      <c r="AV97" s="108"/>
      <c r="AW97" s="108"/>
      <c r="AX97" s="108"/>
      <c r="AY97" s="108"/>
      <c r="AZ97" s="108"/>
      <c r="BC97" s="108"/>
      <c r="BF97" s="108"/>
    </row>
    <row r="98" spans="1:84" x14ac:dyDescent="0.4">
      <c r="A98" s="124" t="s">
        <v>134</v>
      </c>
      <c r="B98" s="124"/>
      <c r="C98" s="180" t="s">
        <v>56</v>
      </c>
      <c r="D98" s="106"/>
      <c r="E98" s="106"/>
      <c r="F98" s="128"/>
      <c r="G98" s="112"/>
      <c r="H98" s="112"/>
      <c r="I98" s="140"/>
      <c r="N98" s="129"/>
      <c r="T98" s="130"/>
      <c r="U98" s="132"/>
      <c r="V98" s="132"/>
      <c r="W98" s="132"/>
      <c r="X98" s="132"/>
      <c r="Y98" s="130"/>
      <c r="Z98" s="130"/>
      <c r="AA98" s="130"/>
      <c r="AB98" s="132"/>
      <c r="AC98" s="132"/>
      <c r="AU98" s="108"/>
      <c r="AV98" s="108"/>
      <c r="AW98" s="108"/>
      <c r="AX98" s="108"/>
      <c r="AY98" s="108"/>
      <c r="BC98" s="108"/>
      <c r="BF98" s="108"/>
    </row>
    <row r="99" spans="1:84" s="141" customFormat="1" x14ac:dyDescent="0.4">
      <c r="A99" s="124">
        <v>512</v>
      </c>
      <c r="B99" s="124">
        <f>B92+1</f>
        <v>54</v>
      </c>
      <c r="C99" s="110" t="s">
        <v>332</v>
      </c>
      <c r="D99" s="106">
        <v>17380</v>
      </c>
      <c r="E99" s="106">
        <v>18684</v>
      </c>
      <c r="F99" s="128">
        <v>19936</v>
      </c>
      <c r="G99" s="106">
        <v>23248</v>
      </c>
      <c r="H99" s="106">
        <v>19321</v>
      </c>
      <c r="I99" s="129"/>
      <c r="J99" s="130">
        <v>20478</v>
      </c>
      <c r="K99" s="130">
        <v>22841</v>
      </c>
      <c r="L99" s="130">
        <v>20118</v>
      </c>
      <c r="M99" s="132">
        <v>20562</v>
      </c>
      <c r="N99" s="129">
        <f>M99-L99</f>
        <v>444</v>
      </c>
      <c r="O99" s="138">
        <f>N99/L99</f>
        <v>2.206978824932896E-2</v>
      </c>
      <c r="Q99" s="132">
        <v>20785.490000000002</v>
      </c>
      <c r="R99" s="164">
        <v>20705.990000000002</v>
      </c>
      <c r="S99" s="164">
        <v>20562</v>
      </c>
      <c r="T99" s="130">
        <v>20767</v>
      </c>
      <c r="U99" s="132">
        <f>S99-R99</f>
        <v>-143.9900000000016</v>
      </c>
      <c r="V99" s="132">
        <f>U99/Q99</f>
        <v>-6.9274287014644154E-3</v>
      </c>
      <c r="W99" s="132"/>
      <c r="X99" s="132"/>
      <c r="Y99" s="130">
        <v>28215</v>
      </c>
      <c r="Z99" s="130">
        <v>22682</v>
      </c>
      <c r="AA99" s="130">
        <v>20793</v>
      </c>
      <c r="AB99" s="132">
        <f>Y99-T99</f>
        <v>7448</v>
      </c>
      <c r="AC99" s="132">
        <f>T99-S99</f>
        <v>205</v>
      </c>
      <c r="AD99" s="131">
        <f>AB99/T99</f>
        <v>0.35864592863677952</v>
      </c>
      <c r="AE99" s="133">
        <f>Z99-T99</f>
        <v>1915</v>
      </c>
      <c r="AF99" s="131">
        <f>AE99/T99</f>
        <v>9.2213608128280444E-2</v>
      </c>
      <c r="AG99" s="133">
        <f>AA99-T99</f>
        <v>26</v>
      </c>
      <c r="AH99" s="131">
        <f>AG99/T99</f>
        <v>1.2519863244570713E-3</v>
      </c>
      <c r="AI99" s="130">
        <v>30293</v>
      </c>
      <c r="AJ99" s="130">
        <v>24459</v>
      </c>
      <c r="AK99" s="130">
        <f>AI99-AA99</f>
        <v>9500</v>
      </c>
      <c r="AL99" s="134">
        <f>AK99/AA99</f>
        <v>0.45688452844707356</v>
      </c>
      <c r="AM99" s="130">
        <f>AJ99-AA99</f>
        <v>3666</v>
      </c>
      <c r="AN99" s="134">
        <f>AM99/AA99</f>
        <v>0.17630933487231279</v>
      </c>
      <c r="AO99" s="108">
        <v>23435</v>
      </c>
      <c r="AP99" s="108">
        <f>AO99-AA99</f>
        <v>2642</v>
      </c>
      <c r="AQ99" s="131">
        <f>AP99/AA99</f>
        <v>0.12706199201654403</v>
      </c>
      <c r="AR99" s="130">
        <v>30459</v>
      </c>
      <c r="AS99" s="132">
        <f>AR99-AA99</f>
        <v>9666</v>
      </c>
      <c r="AT99" s="131">
        <f>AS99/AA99</f>
        <v>0.46486798441783295</v>
      </c>
      <c r="AU99" s="108">
        <v>27983</v>
      </c>
      <c r="AV99" s="108">
        <f>AY99</f>
        <v>26909</v>
      </c>
      <c r="AW99" s="108">
        <f>AV99-AO99</f>
        <v>3474</v>
      </c>
      <c r="AX99" s="131">
        <f>AW99/AO99</f>
        <v>0.14823981224663965</v>
      </c>
      <c r="AY99" s="108">
        <v>26909</v>
      </c>
      <c r="AZ99" s="108">
        <f>AY99-AO99</f>
        <v>3474</v>
      </c>
      <c r="BA99" s="131">
        <f>AZ99/AO99</f>
        <v>0.14823981224663965</v>
      </c>
      <c r="BB99" s="112">
        <f>+AV99-AY99</f>
        <v>0</v>
      </c>
      <c r="BC99" s="108">
        <v>30748</v>
      </c>
      <c r="BD99" s="108">
        <f>BC99-AY99</f>
        <v>3839</v>
      </c>
      <c r="BE99" s="134">
        <f>BD99/AY99</f>
        <v>0.14266602252034635</v>
      </c>
      <c r="BF99" s="108">
        <v>28790</v>
      </c>
      <c r="BG99" s="108">
        <v>32240</v>
      </c>
      <c r="BH99" s="108">
        <v>31035</v>
      </c>
      <c r="BI99" s="108">
        <v>33009</v>
      </c>
      <c r="BJ99" s="108">
        <v>33009</v>
      </c>
      <c r="BK99" s="108">
        <v>33009</v>
      </c>
      <c r="BL99" s="108">
        <v>34116</v>
      </c>
      <c r="BM99" s="108">
        <v>31657.39</v>
      </c>
      <c r="BN99" s="108">
        <v>23316</v>
      </c>
      <c r="BO99" s="108">
        <f>1500+7000</f>
        <v>8500</v>
      </c>
      <c r="BP99" s="108">
        <f>BN99-BK99</f>
        <v>-9693</v>
      </c>
      <c r="BQ99" s="134">
        <f>BP99/BK99</f>
        <v>-0.29364718713078253</v>
      </c>
      <c r="BR99" s="111">
        <f>BO99-BN99</f>
        <v>-14816</v>
      </c>
      <c r="BS99" s="108">
        <v>28413.51</v>
      </c>
      <c r="BT99" s="108">
        <v>31689</v>
      </c>
      <c r="BU99" s="108">
        <v>30196.37</v>
      </c>
      <c r="BV99" s="108">
        <v>32628</v>
      </c>
      <c r="BW99" s="108">
        <v>32590</v>
      </c>
      <c r="BX99" s="108">
        <v>32197.09</v>
      </c>
      <c r="BY99" s="108">
        <f>BW99</f>
        <v>32590</v>
      </c>
      <c r="BZ99" s="108">
        <v>38031.64</v>
      </c>
      <c r="CA99" s="108">
        <v>33883</v>
      </c>
      <c r="CB99" s="108">
        <v>33883.51</v>
      </c>
      <c r="CC99" s="108">
        <f t="shared" ref="CC99:CC103" si="122">CB99</f>
        <v>33883.51</v>
      </c>
      <c r="CD99" s="108">
        <f>32336.95+340.5</f>
        <v>32677.45</v>
      </c>
      <c r="CE99" s="108">
        <f>CC99</f>
        <v>33883.51</v>
      </c>
      <c r="CF99" s="108">
        <v>35055.96</v>
      </c>
    </row>
    <row r="100" spans="1:84" s="141" customFormat="1" x14ac:dyDescent="0.4">
      <c r="A100" s="124">
        <v>519</v>
      </c>
      <c r="B100" s="124">
        <f>B99+1</f>
        <v>55</v>
      </c>
      <c r="C100" s="110" t="s">
        <v>333</v>
      </c>
      <c r="D100" s="106">
        <v>24655</v>
      </c>
      <c r="E100" s="106">
        <v>24655</v>
      </c>
      <c r="F100" s="128">
        <v>24655</v>
      </c>
      <c r="G100" s="106">
        <v>24655</v>
      </c>
      <c r="H100" s="106">
        <v>24655</v>
      </c>
      <c r="I100" s="129"/>
      <c r="J100" s="130">
        <v>25148</v>
      </c>
      <c r="K100" s="130">
        <f>J100</f>
        <v>25148</v>
      </c>
      <c r="L100" s="130">
        <v>25148</v>
      </c>
      <c r="M100" s="132">
        <f>L100</f>
        <v>25148</v>
      </c>
      <c r="N100" s="129">
        <f>M100-L100</f>
        <v>0</v>
      </c>
      <c r="O100" s="138">
        <f>N100/L100</f>
        <v>0</v>
      </c>
      <c r="Q100" s="132">
        <v>25148</v>
      </c>
      <c r="R100" s="164">
        <v>25148</v>
      </c>
      <c r="S100" s="164">
        <v>25148</v>
      </c>
      <c r="T100" s="130">
        <v>25148</v>
      </c>
      <c r="U100" s="132">
        <f>S100-R100</f>
        <v>0</v>
      </c>
      <c r="V100" s="132">
        <f>U100/Q100</f>
        <v>0</v>
      </c>
      <c r="W100" s="132"/>
      <c r="X100" s="132"/>
      <c r="Y100" s="130">
        <v>25903</v>
      </c>
      <c r="Z100" s="130">
        <v>25903</v>
      </c>
      <c r="AA100" s="130">
        <v>25903</v>
      </c>
      <c r="AB100" s="132">
        <f>Y100-T100</f>
        <v>755</v>
      </c>
      <c r="AC100" s="132">
        <f>T100-S100</f>
        <v>0</v>
      </c>
      <c r="AD100" s="131">
        <f>AB100/T100</f>
        <v>3.0022268172419278E-2</v>
      </c>
      <c r="AE100" s="133">
        <f>Z100-T100</f>
        <v>755</v>
      </c>
      <c r="AF100" s="131">
        <f>AE100/T100</f>
        <v>3.0022268172419278E-2</v>
      </c>
      <c r="AG100" s="133">
        <f>AA100-T100</f>
        <v>755</v>
      </c>
      <c r="AH100" s="131">
        <f>AG100/T100</f>
        <v>3.0022268172419278E-2</v>
      </c>
      <c r="AI100" s="130">
        <v>25903</v>
      </c>
      <c r="AJ100" s="130">
        <v>25903</v>
      </c>
      <c r="AK100" s="130">
        <f>AI100-AA100</f>
        <v>0</v>
      </c>
      <c r="AL100" s="134">
        <f>AK100/AA100</f>
        <v>0</v>
      </c>
      <c r="AM100" s="130">
        <f>AJ100-AA100</f>
        <v>0</v>
      </c>
      <c r="AN100" s="134">
        <f>AM100/AA100</f>
        <v>0</v>
      </c>
      <c r="AO100" s="108">
        <v>25902</v>
      </c>
      <c r="AP100" s="108">
        <f>AO100-AA100</f>
        <v>-1</v>
      </c>
      <c r="AQ100" s="131">
        <f>AP100/AA100</f>
        <v>-3.8605566922750261E-5</v>
      </c>
      <c r="AR100" s="130">
        <v>25903</v>
      </c>
      <c r="AS100" s="132">
        <f>AR100-AA100</f>
        <v>0</v>
      </c>
      <c r="AT100" s="131">
        <f>AS100/AA100</f>
        <v>0</v>
      </c>
      <c r="AU100" s="108">
        <v>25903</v>
      </c>
      <c r="AV100" s="108">
        <f>AY100</f>
        <v>25902</v>
      </c>
      <c r="AW100" s="108">
        <f>AV100-AO100</f>
        <v>0</v>
      </c>
      <c r="AX100" s="131">
        <f>AW100/AO100</f>
        <v>0</v>
      </c>
      <c r="AY100" s="108">
        <v>25902</v>
      </c>
      <c r="AZ100" s="108">
        <f>AY100-AO100</f>
        <v>0</v>
      </c>
      <c r="BA100" s="131">
        <f>AZ100/AO100</f>
        <v>0</v>
      </c>
      <c r="BB100" s="112">
        <f>+AV100-AY100</f>
        <v>0</v>
      </c>
      <c r="BC100" s="108">
        <v>25903</v>
      </c>
      <c r="BD100" s="108">
        <f>BC100-AY100</f>
        <v>1</v>
      </c>
      <c r="BE100" s="134">
        <f>BD100/AY100</f>
        <v>3.8607057370087249E-5</v>
      </c>
      <c r="BF100" s="108">
        <v>25902</v>
      </c>
      <c r="BG100" s="108">
        <v>25903</v>
      </c>
      <c r="BH100" s="108">
        <v>25902</v>
      </c>
      <c r="BI100" s="108">
        <v>25903</v>
      </c>
      <c r="BJ100" s="108">
        <v>25903</v>
      </c>
      <c r="BK100" s="108">
        <v>25903</v>
      </c>
      <c r="BL100" s="108">
        <v>21988</v>
      </c>
      <c r="BM100" s="108">
        <v>25902</v>
      </c>
      <c r="BN100" s="108">
        <v>21988</v>
      </c>
      <c r="BO100" s="108">
        <v>0</v>
      </c>
      <c r="BP100" s="108">
        <f>BN100-BK100</f>
        <v>-3915</v>
      </c>
      <c r="BQ100" s="134">
        <f>BP100/BK100</f>
        <v>-0.15114079450256726</v>
      </c>
      <c r="BR100" s="111">
        <f>BO100-BN100</f>
        <v>-21988</v>
      </c>
      <c r="BS100" s="108">
        <v>21967.32</v>
      </c>
      <c r="BT100" s="108">
        <v>21967</v>
      </c>
      <c r="BU100" s="108">
        <v>21967.32</v>
      </c>
      <c r="BV100" s="108">
        <v>21967</v>
      </c>
      <c r="BW100" s="108">
        <v>22846</v>
      </c>
      <c r="BX100" s="108">
        <f>16475.49+5491.83</f>
        <v>21967.32</v>
      </c>
      <c r="BY100" s="108">
        <f>BW100</f>
        <v>22846</v>
      </c>
      <c r="BZ100" s="108">
        <v>22846</v>
      </c>
      <c r="CA100" s="108">
        <v>23532</v>
      </c>
      <c r="CB100" s="108">
        <v>24707.95</v>
      </c>
      <c r="CC100" s="108">
        <f t="shared" si="122"/>
        <v>24707.95</v>
      </c>
      <c r="CD100" s="108">
        <f>23531.4</f>
        <v>23531.4</v>
      </c>
      <c r="CE100" s="108">
        <f>CC100</f>
        <v>24707.95</v>
      </c>
      <c r="CF100" s="108">
        <v>25943.35</v>
      </c>
    </row>
    <row r="101" spans="1:84" s="141" customFormat="1" x14ac:dyDescent="0.4">
      <c r="A101" s="124">
        <v>522</v>
      </c>
      <c r="B101" s="124">
        <f>B100+1</f>
        <v>56</v>
      </c>
      <c r="C101" s="110" t="s">
        <v>334</v>
      </c>
      <c r="D101" s="106">
        <v>6943</v>
      </c>
      <c r="E101" s="106">
        <v>6943</v>
      </c>
      <c r="F101" s="128">
        <v>6943</v>
      </c>
      <c r="G101" s="106">
        <v>6943</v>
      </c>
      <c r="H101" s="106">
        <v>6943</v>
      </c>
      <c r="I101" s="129"/>
      <c r="J101" s="130">
        <v>7112</v>
      </c>
      <c r="K101" s="130">
        <v>7396</v>
      </c>
      <c r="L101" s="130">
        <v>7396</v>
      </c>
      <c r="M101" s="132">
        <f>L101</f>
        <v>7396</v>
      </c>
      <c r="N101" s="129">
        <f>M101-L101</f>
        <v>0</v>
      </c>
      <c r="O101" s="138">
        <f>N101/L101</f>
        <v>0</v>
      </c>
      <c r="Q101" s="132">
        <v>7396</v>
      </c>
      <c r="R101" s="164">
        <v>7396</v>
      </c>
      <c r="S101" s="164">
        <v>7396</v>
      </c>
      <c r="T101" s="130">
        <v>7396</v>
      </c>
      <c r="U101" s="132">
        <f>S101-R101</f>
        <v>0</v>
      </c>
      <c r="V101" s="132">
        <f>U101/Q101</f>
        <v>0</v>
      </c>
      <c r="W101" s="132"/>
      <c r="X101" s="132"/>
      <c r="Y101" s="130">
        <v>7618</v>
      </c>
      <c r="Z101" s="130">
        <v>7618</v>
      </c>
      <c r="AA101" s="130">
        <v>7618</v>
      </c>
      <c r="AB101" s="132">
        <f>Y101-T101</f>
        <v>222</v>
      </c>
      <c r="AC101" s="132">
        <f>T101-S101</f>
        <v>0</v>
      </c>
      <c r="AD101" s="131">
        <f>AB101/T101</f>
        <v>3.0016224986479177E-2</v>
      </c>
      <c r="AE101" s="133">
        <f>Z101-T101</f>
        <v>222</v>
      </c>
      <c r="AF101" s="131">
        <f>AE101/T101</f>
        <v>3.0016224986479177E-2</v>
      </c>
      <c r="AG101" s="133">
        <f>AA101-T101</f>
        <v>222</v>
      </c>
      <c r="AH101" s="131">
        <f>AG101/T101</f>
        <v>3.0016224986479177E-2</v>
      </c>
      <c r="AI101" s="130">
        <v>7618</v>
      </c>
      <c r="AJ101" s="130">
        <v>7618</v>
      </c>
      <c r="AK101" s="130">
        <f>AI101-AA101</f>
        <v>0</v>
      </c>
      <c r="AL101" s="134">
        <f>AK101/AA101</f>
        <v>0</v>
      </c>
      <c r="AM101" s="130">
        <f>AJ101-AA101</f>
        <v>0</v>
      </c>
      <c r="AN101" s="134">
        <f>AM101/AA101</f>
        <v>0</v>
      </c>
      <c r="AO101" s="108">
        <f>AJ101</f>
        <v>7618</v>
      </c>
      <c r="AP101" s="108">
        <f>AO101-AA101</f>
        <v>0</v>
      </c>
      <c r="AQ101" s="131">
        <f>AP101/AA101</f>
        <v>0</v>
      </c>
      <c r="AR101" s="130">
        <v>7618</v>
      </c>
      <c r="AS101" s="132">
        <f>AR101-AA101</f>
        <v>0</v>
      </c>
      <c r="AT101" s="131">
        <f>AS101/AA101</f>
        <v>0</v>
      </c>
      <c r="AU101" s="108">
        <v>7618</v>
      </c>
      <c r="AV101" s="108">
        <f>AY101</f>
        <v>7618</v>
      </c>
      <c r="AW101" s="108">
        <f>AV101-AO101</f>
        <v>0</v>
      </c>
      <c r="AX101" s="131">
        <f>AW101/AO101</f>
        <v>0</v>
      </c>
      <c r="AY101" s="108">
        <v>7618</v>
      </c>
      <c r="AZ101" s="108">
        <f>AY101-AO101</f>
        <v>0</v>
      </c>
      <c r="BA101" s="131">
        <f>AZ101/AO101</f>
        <v>0</v>
      </c>
      <c r="BB101" s="112">
        <f>+AV101-AY101</f>
        <v>0</v>
      </c>
      <c r="BC101" s="108">
        <v>7618</v>
      </c>
      <c r="BD101" s="108">
        <f>BC101-AY101</f>
        <v>0</v>
      </c>
      <c r="BE101" s="134">
        <f>BD101/AY101</f>
        <v>0</v>
      </c>
      <c r="BF101" s="108">
        <v>7618</v>
      </c>
      <c r="BG101" s="108">
        <v>7618</v>
      </c>
      <c r="BH101" s="108">
        <v>7618</v>
      </c>
      <c r="BI101" s="108">
        <v>7618</v>
      </c>
      <c r="BJ101" s="108">
        <v>7618</v>
      </c>
      <c r="BK101" s="108">
        <v>7618</v>
      </c>
      <c r="BL101" s="108">
        <v>9884</v>
      </c>
      <c r="BM101" s="108">
        <v>7618</v>
      </c>
      <c r="BN101" s="108">
        <v>9884</v>
      </c>
      <c r="BO101" s="108">
        <v>0</v>
      </c>
      <c r="BP101" s="108">
        <f>BN101-BK101</f>
        <v>2266</v>
      </c>
      <c r="BQ101" s="134">
        <f>BP101/BK101</f>
        <v>0.29745339984247832</v>
      </c>
      <c r="BR101" s="111">
        <f>BO101-BN101</f>
        <v>-9884</v>
      </c>
      <c r="BS101" s="108">
        <v>9833.84</v>
      </c>
      <c r="BT101" s="108">
        <v>9834</v>
      </c>
      <c r="BU101" s="108">
        <v>9833.84</v>
      </c>
      <c r="BV101" s="108">
        <v>9834</v>
      </c>
      <c r="BW101" s="108">
        <v>10227</v>
      </c>
      <c r="BX101" s="108">
        <f>7375.38+2458.46</f>
        <v>9833.84</v>
      </c>
      <c r="BY101" s="108">
        <f>BW101</f>
        <v>10227</v>
      </c>
      <c r="BZ101" s="108">
        <v>10227.200000000001</v>
      </c>
      <c r="CA101" s="108">
        <v>10739</v>
      </c>
      <c r="CB101" s="108">
        <v>11275.49</v>
      </c>
      <c r="CC101" s="108">
        <f t="shared" si="122"/>
        <v>11275.49</v>
      </c>
      <c r="CD101" s="108">
        <f>10738.56</f>
        <v>10738.56</v>
      </c>
      <c r="CE101" s="108">
        <f>CC101</f>
        <v>11275.49</v>
      </c>
      <c r="CF101" s="108">
        <v>11839.27</v>
      </c>
    </row>
    <row r="102" spans="1:84" s="141" customFormat="1" x14ac:dyDescent="0.4">
      <c r="A102" s="124">
        <v>523</v>
      </c>
      <c r="B102" s="124">
        <f>B101+1</f>
        <v>57</v>
      </c>
      <c r="C102" s="110" t="s">
        <v>335</v>
      </c>
      <c r="D102" s="106">
        <v>5000</v>
      </c>
      <c r="E102" s="106">
        <v>5000</v>
      </c>
      <c r="F102" s="128">
        <v>5000</v>
      </c>
      <c r="G102" s="106">
        <v>5000</v>
      </c>
      <c r="H102" s="106">
        <v>5000</v>
      </c>
      <c r="I102" s="129"/>
      <c r="J102" s="130">
        <v>5000</v>
      </c>
      <c r="K102" s="130">
        <f>J102</f>
        <v>5000</v>
      </c>
      <c r="L102" s="130">
        <v>5000</v>
      </c>
      <c r="M102" s="132">
        <f>L102</f>
        <v>5000</v>
      </c>
      <c r="N102" s="129">
        <f>M102-L102</f>
        <v>0</v>
      </c>
      <c r="O102" s="138">
        <f>N102/L102</f>
        <v>0</v>
      </c>
      <c r="Q102" s="132">
        <v>5000</v>
      </c>
      <c r="R102" s="164">
        <v>5000</v>
      </c>
      <c r="S102" s="164">
        <v>5000</v>
      </c>
      <c r="T102" s="130">
        <v>5000</v>
      </c>
      <c r="U102" s="132">
        <f>S102-R102</f>
        <v>0</v>
      </c>
      <c r="V102" s="132">
        <f>U102/Q102</f>
        <v>0</v>
      </c>
      <c r="W102" s="132"/>
      <c r="X102" s="132"/>
      <c r="Y102" s="130">
        <f>T102</f>
        <v>5000</v>
      </c>
      <c r="Z102" s="130">
        <v>5000</v>
      </c>
      <c r="AA102" s="130">
        <v>5000</v>
      </c>
      <c r="AB102" s="132">
        <f>Y102-T102</f>
        <v>0</v>
      </c>
      <c r="AC102" s="132">
        <f>T102-S102</f>
        <v>0</v>
      </c>
      <c r="AD102" s="131">
        <f>AB102/T102</f>
        <v>0</v>
      </c>
      <c r="AE102" s="133">
        <f>Z102-T102</f>
        <v>0</v>
      </c>
      <c r="AF102" s="131">
        <f>AE102/T102</f>
        <v>0</v>
      </c>
      <c r="AG102" s="133">
        <f>AA102-T102</f>
        <v>0</v>
      </c>
      <c r="AH102" s="131">
        <f>AG102/T102</f>
        <v>0</v>
      </c>
      <c r="AI102" s="130">
        <v>5000</v>
      </c>
      <c r="AJ102" s="130">
        <v>5000</v>
      </c>
      <c r="AK102" s="130">
        <f>AI102-AA102</f>
        <v>0</v>
      </c>
      <c r="AL102" s="134">
        <f>AK102/AA102</f>
        <v>0</v>
      </c>
      <c r="AM102" s="130">
        <f>AJ102-AA102</f>
        <v>0</v>
      </c>
      <c r="AN102" s="134">
        <f>AM102/AA102</f>
        <v>0</v>
      </c>
      <c r="AO102" s="108">
        <f>AJ102</f>
        <v>5000</v>
      </c>
      <c r="AP102" s="108">
        <f>AO102-AA102</f>
        <v>0</v>
      </c>
      <c r="AQ102" s="131">
        <f>AP102/AA102</f>
        <v>0</v>
      </c>
      <c r="AR102" s="130">
        <v>5000</v>
      </c>
      <c r="AS102" s="132">
        <f>AR102-AA102</f>
        <v>0</v>
      </c>
      <c r="AT102" s="131">
        <f>AS102/AA102</f>
        <v>0</v>
      </c>
      <c r="AU102" s="108">
        <v>5000</v>
      </c>
      <c r="AV102" s="108">
        <f>AY102</f>
        <v>0</v>
      </c>
      <c r="AW102" s="108">
        <f>AV102-AO102</f>
        <v>-5000</v>
      </c>
      <c r="AX102" s="131">
        <f>AW102/AO102</f>
        <v>-1</v>
      </c>
      <c r="AY102" s="108">
        <v>0</v>
      </c>
      <c r="AZ102" s="108">
        <f>AY102-AO102</f>
        <v>-5000</v>
      </c>
      <c r="BA102" s="131">
        <f>AZ102/AO102</f>
        <v>-1</v>
      </c>
      <c r="BB102" s="112">
        <f>+AV102-AY102</f>
        <v>0</v>
      </c>
      <c r="BC102" s="108">
        <v>0</v>
      </c>
      <c r="BD102" s="108">
        <f>BC102-AY102</f>
        <v>0</v>
      </c>
      <c r="BE102" s="134" t="e">
        <f>BD102/AY102</f>
        <v>#DIV/0!</v>
      </c>
      <c r="BF102" s="108">
        <f>BC102</f>
        <v>0</v>
      </c>
      <c r="BG102" s="108">
        <v>0</v>
      </c>
      <c r="BH102" s="108">
        <v>0</v>
      </c>
      <c r="BI102" s="108">
        <v>0</v>
      </c>
      <c r="BJ102" s="108">
        <v>0</v>
      </c>
      <c r="BK102" s="108">
        <v>0</v>
      </c>
      <c r="BL102" s="108">
        <v>0</v>
      </c>
      <c r="BM102" s="108">
        <v>0</v>
      </c>
      <c r="BN102" s="108">
        <v>0</v>
      </c>
      <c r="BO102" s="108">
        <v>0</v>
      </c>
      <c r="BP102" s="108">
        <f>BN102-BK102</f>
        <v>0</v>
      </c>
      <c r="BQ102" s="134"/>
      <c r="BR102" s="111">
        <f>BO102-BN102</f>
        <v>0</v>
      </c>
      <c r="BS102" s="108">
        <v>0</v>
      </c>
      <c r="BT102" s="108">
        <v>0</v>
      </c>
      <c r="BU102" s="108">
        <v>0</v>
      </c>
      <c r="BV102" s="108">
        <v>0</v>
      </c>
      <c r="BW102" s="108">
        <v>0</v>
      </c>
      <c r="BX102" s="108">
        <v>0</v>
      </c>
      <c r="BY102" s="108">
        <f>BW102</f>
        <v>0</v>
      </c>
      <c r="BZ102" s="108">
        <v>0</v>
      </c>
      <c r="CA102" s="108">
        <v>0</v>
      </c>
      <c r="CB102" s="108">
        <v>0</v>
      </c>
      <c r="CC102" s="108">
        <f t="shared" si="122"/>
        <v>0</v>
      </c>
      <c r="CD102" s="108">
        <v>0</v>
      </c>
      <c r="CE102" s="108">
        <f>CC102</f>
        <v>0</v>
      </c>
      <c r="CF102" s="108">
        <v>0</v>
      </c>
    </row>
    <row r="103" spans="1:84" x14ac:dyDescent="0.4">
      <c r="A103" s="124">
        <v>299</v>
      </c>
      <c r="B103" s="124">
        <f>B102+1</f>
        <v>58</v>
      </c>
      <c r="C103" s="110" t="s">
        <v>336</v>
      </c>
      <c r="D103" s="106">
        <v>600</v>
      </c>
      <c r="E103" s="106">
        <v>600</v>
      </c>
      <c r="F103" s="128">
        <v>600</v>
      </c>
      <c r="G103" s="106">
        <v>600</v>
      </c>
      <c r="H103" s="106">
        <v>600</v>
      </c>
      <c r="I103" s="129"/>
      <c r="J103" s="130">
        <v>600</v>
      </c>
      <c r="K103" s="130">
        <f>J103</f>
        <v>600</v>
      </c>
      <c r="L103" s="130">
        <v>600</v>
      </c>
      <c r="M103" s="130">
        <f>L103</f>
        <v>600</v>
      </c>
      <c r="N103" s="129">
        <f>M103-L103</f>
        <v>0</v>
      </c>
      <c r="O103" s="138">
        <f>N103/L103</f>
        <v>0</v>
      </c>
      <c r="Q103" s="132">
        <v>600</v>
      </c>
      <c r="R103" s="164">
        <v>600</v>
      </c>
      <c r="S103" s="164">
        <v>600</v>
      </c>
      <c r="T103" s="130">
        <v>600</v>
      </c>
      <c r="U103" s="132">
        <f>S103-R103</f>
        <v>0</v>
      </c>
      <c r="V103" s="132">
        <f>U103/Q103</f>
        <v>0</v>
      </c>
      <c r="W103" s="132"/>
      <c r="X103" s="132"/>
      <c r="Y103" s="130">
        <f>T103</f>
        <v>600</v>
      </c>
      <c r="Z103" s="130">
        <v>600</v>
      </c>
      <c r="AA103" s="130">
        <v>600</v>
      </c>
      <c r="AB103" s="132">
        <f>Y103-T103</f>
        <v>0</v>
      </c>
      <c r="AC103" s="132">
        <f>T103-S103</f>
        <v>0</v>
      </c>
      <c r="AD103" s="131">
        <f>AB103/T103</f>
        <v>0</v>
      </c>
      <c r="AE103" s="133">
        <f>Z103-T103</f>
        <v>0</v>
      </c>
      <c r="AF103" s="131">
        <f>AE103/T103</f>
        <v>0</v>
      </c>
      <c r="AG103" s="133">
        <f>AA103-T103</f>
        <v>0</v>
      </c>
      <c r="AH103" s="131">
        <f>AG103/T103</f>
        <v>0</v>
      </c>
      <c r="AI103" s="130">
        <v>600</v>
      </c>
      <c r="AJ103" s="130">
        <v>600</v>
      </c>
      <c r="AK103" s="130">
        <f>AI103-AA103</f>
        <v>0</v>
      </c>
      <c r="AL103" s="134">
        <f>AK103/AA103</f>
        <v>0</v>
      </c>
      <c r="AM103" s="130">
        <f>AJ103-AA103</f>
        <v>0</v>
      </c>
      <c r="AN103" s="134">
        <f>AM103/AA103</f>
        <v>0</v>
      </c>
      <c r="AO103" s="108">
        <f>AJ103</f>
        <v>600</v>
      </c>
      <c r="AP103" s="108">
        <f>AO103-AA103</f>
        <v>0</v>
      </c>
      <c r="AQ103" s="131">
        <f>AP103/AA103</f>
        <v>0</v>
      </c>
      <c r="AR103" s="130">
        <v>600</v>
      </c>
      <c r="AS103" s="132">
        <f>AR103-AA103</f>
        <v>0</v>
      </c>
      <c r="AT103" s="131">
        <f>AS103/AA103</f>
        <v>0</v>
      </c>
      <c r="AU103" s="108">
        <v>600</v>
      </c>
      <c r="AV103" s="108">
        <f>AY103</f>
        <v>600</v>
      </c>
      <c r="AW103" s="108">
        <f>AV103-AO103</f>
        <v>0</v>
      </c>
      <c r="AX103" s="131">
        <f>AW103/AO103</f>
        <v>0</v>
      </c>
      <c r="AY103" s="108">
        <v>600</v>
      </c>
      <c r="AZ103" s="108">
        <f>AY103-AO103</f>
        <v>0</v>
      </c>
      <c r="BA103" s="131">
        <f>AZ103/AO103</f>
        <v>0</v>
      </c>
      <c r="BB103" s="112">
        <f>+AV103-AY103</f>
        <v>0</v>
      </c>
      <c r="BC103" s="108">
        <v>600</v>
      </c>
      <c r="BD103" s="108">
        <f>BC103-AY103</f>
        <v>0</v>
      </c>
      <c r="BE103" s="134">
        <f>BD103/AY103</f>
        <v>0</v>
      </c>
      <c r="BF103" s="108">
        <f>BC103</f>
        <v>600</v>
      </c>
      <c r="BG103" s="108">
        <v>600</v>
      </c>
      <c r="BH103" s="108">
        <v>600</v>
      </c>
      <c r="BI103" s="108">
        <v>600</v>
      </c>
      <c r="BJ103" s="108">
        <v>600</v>
      </c>
      <c r="BK103" s="108">
        <v>600</v>
      </c>
      <c r="BL103" s="108">
        <v>600</v>
      </c>
      <c r="BM103" s="108">
        <v>600</v>
      </c>
      <c r="BN103" s="108">
        <v>600</v>
      </c>
      <c r="BO103" s="108">
        <v>0</v>
      </c>
      <c r="BP103" s="108">
        <f>BN103-BK103</f>
        <v>0</v>
      </c>
      <c r="BQ103" s="134">
        <f>BP103/BK103</f>
        <v>0</v>
      </c>
      <c r="BR103" s="111">
        <f>BO103-BN103</f>
        <v>-600</v>
      </c>
      <c r="BS103" s="108">
        <v>600</v>
      </c>
      <c r="BT103" s="108">
        <v>600</v>
      </c>
      <c r="BU103" s="108">
        <v>600</v>
      </c>
      <c r="BV103" s="108">
        <v>600</v>
      </c>
      <c r="BW103" s="108">
        <v>1000</v>
      </c>
      <c r="BX103" s="108">
        <v>600</v>
      </c>
      <c r="BY103" s="108">
        <f>BW103</f>
        <v>1000</v>
      </c>
      <c r="BZ103" s="108">
        <v>1000</v>
      </c>
      <c r="CA103" s="108">
        <v>1000</v>
      </c>
      <c r="CB103" s="108">
        <v>1000</v>
      </c>
      <c r="CC103" s="108">
        <f t="shared" si="122"/>
        <v>1000</v>
      </c>
      <c r="CD103" s="108">
        <v>1000</v>
      </c>
      <c r="CE103" s="108">
        <f>CC103</f>
        <v>1000</v>
      </c>
      <c r="CF103" s="108">
        <v>1000</v>
      </c>
    </row>
    <row r="104" spans="1:84" x14ac:dyDescent="0.4">
      <c r="A104" s="124"/>
      <c r="B104" s="124"/>
      <c r="C104" s="110"/>
      <c r="D104" s="106"/>
      <c r="E104" s="106"/>
      <c r="F104" s="128"/>
      <c r="G104" s="112"/>
      <c r="H104" s="112"/>
      <c r="I104" s="140"/>
      <c r="J104" s="140"/>
      <c r="K104" s="140"/>
      <c r="L104" s="140"/>
      <c r="M104" s="140"/>
      <c r="N104" s="129"/>
      <c r="O104" s="175"/>
      <c r="R104" s="164"/>
      <c r="S104" s="164"/>
      <c r="T104" s="130"/>
      <c r="U104" s="132"/>
      <c r="V104" s="132"/>
      <c r="W104" s="132"/>
      <c r="X104" s="132"/>
      <c r="Y104" s="130"/>
      <c r="Z104" s="130"/>
      <c r="AA104" s="130"/>
      <c r="AB104" s="132"/>
      <c r="AC104" s="132"/>
      <c r="AD104" s="131"/>
      <c r="AE104" s="131"/>
      <c r="AF104" s="131"/>
      <c r="AG104" s="131"/>
      <c r="AH104" s="131"/>
      <c r="AU104" s="108"/>
      <c r="AV104" s="108"/>
      <c r="AW104" s="108"/>
      <c r="AX104" s="108"/>
      <c r="AY104" s="108"/>
    </row>
    <row r="105" spans="1:84" x14ac:dyDescent="0.4">
      <c r="A105" s="124" t="s">
        <v>134</v>
      </c>
      <c r="B105" s="124"/>
      <c r="C105" s="176" t="s">
        <v>337</v>
      </c>
      <c r="D105" s="132">
        <f>SUM(D98:D103)</f>
        <v>54578</v>
      </c>
      <c r="E105" s="132">
        <f>SUM(E98:E103)</f>
        <v>55882</v>
      </c>
      <c r="F105" s="132">
        <f>SUM(F98:F103)</f>
        <v>57134</v>
      </c>
      <c r="G105" s="132">
        <f>SUM(G98:G103)</f>
        <v>60446</v>
      </c>
      <c r="H105" s="132">
        <f>SUM(H98:H103)</f>
        <v>56519</v>
      </c>
      <c r="I105" s="132" t="e">
        <f>#REF!-G105</f>
        <v>#REF!</v>
      </c>
      <c r="J105" s="132">
        <f>SUM(J99:J103)</f>
        <v>58338</v>
      </c>
      <c r="K105" s="132">
        <f>SUM(K99:K103)</f>
        <v>60985</v>
      </c>
      <c r="L105" s="132">
        <f>SUM(L99:L103)</f>
        <v>58262</v>
      </c>
      <c r="M105" s="132">
        <f>SUM(M99:M103)</f>
        <v>58706</v>
      </c>
      <c r="N105" s="132">
        <f>SUM(N99:N103)</f>
        <v>444</v>
      </c>
      <c r="O105" s="131">
        <f>N105/L105</f>
        <v>7.6207476571350111E-3</v>
      </c>
      <c r="Q105" s="132">
        <f t="shared" ref="Q105:AJ105" si="123">SUM(Q99:Q103)</f>
        <v>58929.490000000005</v>
      </c>
      <c r="R105" s="164">
        <f t="shared" si="123"/>
        <v>58849.990000000005</v>
      </c>
      <c r="S105" s="164">
        <f t="shared" si="123"/>
        <v>58706</v>
      </c>
      <c r="T105" s="130">
        <f t="shared" si="123"/>
        <v>58911</v>
      </c>
      <c r="U105" s="130">
        <f t="shared" si="123"/>
        <v>-143.9900000000016</v>
      </c>
      <c r="V105" s="130">
        <f t="shared" si="123"/>
        <v>-6.9274287014644154E-3</v>
      </c>
      <c r="W105" s="130">
        <f t="shared" si="123"/>
        <v>0</v>
      </c>
      <c r="X105" s="130">
        <f t="shared" si="123"/>
        <v>0</v>
      </c>
      <c r="Y105" s="130">
        <f t="shared" si="123"/>
        <v>67336</v>
      </c>
      <c r="Z105" s="130">
        <f t="shared" si="123"/>
        <v>61803</v>
      </c>
      <c r="AA105" s="130">
        <f t="shared" si="123"/>
        <v>59914</v>
      </c>
      <c r="AB105" s="130">
        <f t="shared" si="123"/>
        <v>8425</v>
      </c>
      <c r="AC105" s="130">
        <f t="shared" si="123"/>
        <v>205</v>
      </c>
      <c r="AD105" s="130">
        <f t="shared" si="123"/>
        <v>0.41868442179567794</v>
      </c>
      <c r="AE105" s="130">
        <f t="shared" si="123"/>
        <v>2892</v>
      </c>
      <c r="AF105" s="130">
        <f t="shared" si="123"/>
        <v>0.15225210128717889</v>
      </c>
      <c r="AG105" s="130">
        <f t="shared" si="123"/>
        <v>1003</v>
      </c>
      <c r="AH105" s="130">
        <f t="shared" si="123"/>
        <v>6.1290479483355524E-2</v>
      </c>
      <c r="AI105" s="130">
        <f t="shared" si="123"/>
        <v>69414</v>
      </c>
      <c r="AJ105" s="130">
        <f t="shared" si="123"/>
        <v>63580</v>
      </c>
      <c r="AK105" s="130">
        <f>AI105-AA105</f>
        <v>9500</v>
      </c>
      <c r="AL105" s="134">
        <f>AK105/AA105</f>
        <v>0.15856060353172882</v>
      </c>
      <c r="AM105" s="130">
        <f>AJ105-AA105</f>
        <v>3666</v>
      </c>
      <c r="AN105" s="134">
        <f>AM105/AA105</f>
        <v>6.1187702373401875E-2</v>
      </c>
      <c r="AO105" s="130">
        <f>SUM(AO99:AO103)</f>
        <v>62555</v>
      </c>
      <c r="AP105" s="108">
        <f>AO105-AA105</f>
        <v>2641</v>
      </c>
      <c r="AQ105" s="131">
        <f>AP105/AA105</f>
        <v>4.4079847781820607E-2</v>
      </c>
      <c r="AR105" s="130">
        <f>SUM(AR99:AR103)</f>
        <v>69580</v>
      </c>
      <c r="AS105" s="132">
        <f>AR105-AA105</f>
        <v>9666</v>
      </c>
      <c r="AT105" s="131">
        <f>AS105/AA105</f>
        <v>0.16133124144607269</v>
      </c>
      <c r="AU105" s="130">
        <f>SUM(AU99:AU103)</f>
        <v>67104</v>
      </c>
      <c r="AV105" s="108">
        <f>AY105</f>
        <v>61029</v>
      </c>
      <c r="AW105" s="108">
        <f>AV105-AO105</f>
        <v>-1526</v>
      </c>
      <c r="AX105" s="131">
        <f>AW105/AO105</f>
        <v>-2.4394532811126208E-2</v>
      </c>
      <c r="AY105" s="130">
        <f>SUM(AY99:AY103)</f>
        <v>61029</v>
      </c>
      <c r="AZ105" s="108">
        <f>AY105-AO105</f>
        <v>-1526</v>
      </c>
      <c r="BA105" s="131">
        <f>AZ105/AO105</f>
        <v>-2.4394532811126208E-2</v>
      </c>
      <c r="BB105" s="112">
        <f>+AV105-AY105</f>
        <v>0</v>
      </c>
      <c r="BC105" s="108">
        <f>SUM(BC99:BC103)</f>
        <v>64869</v>
      </c>
      <c r="BD105" s="108">
        <f>BC105-AY105</f>
        <v>3840</v>
      </c>
      <c r="BE105" s="134">
        <f>BD105/AY105</f>
        <v>6.2920906454308603E-2</v>
      </c>
      <c r="BF105" s="108">
        <f t="shared" ref="BF105:BO105" si="124">SUM(BF99:BF103)</f>
        <v>62910</v>
      </c>
      <c r="BG105" s="108">
        <f t="shared" si="124"/>
        <v>66361</v>
      </c>
      <c r="BH105" s="108">
        <f t="shared" si="124"/>
        <v>65155</v>
      </c>
      <c r="BI105" s="108">
        <f t="shared" si="124"/>
        <v>67130</v>
      </c>
      <c r="BJ105" s="108">
        <f t="shared" si="124"/>
        <v>67130</v>
      </c>
      <c r="BK105" s="108">
        <f t="shared" si="124"/>
        <v>67130</v>
      </c>
      <c r="BL105" s="108">
        <f t="shared" si="124"/>
        <v>66588</v>
      </c>
      <c r="BM105" s="108">
        <f t="shared" si="124"/>
        <v>65777.39</v>
      </c>
      <c r="BN105" s="108">
        <f t="shared" si="124"/>
        <v>55788</v>
      </c>
      <c r="BO105" s="108">
        <f t="shared" si="124"/>
        <v>8500</v>
      </c>
      <c r="BP105" s="108">
        <f>BN105-BK105</f>
        <v>-11342</v>
      </c>
      <c r="BQ105" s="134">
        <f>BP105/BK105</f>
        <v>-0.16895575748547595</v>
      </c>
      <c r="BS105" s="108">
        <f t="shared" ref="BS105:CF105" si="125">SUM(BS99:BS103)</f>
        <v>60814.67</v>
      </c>
      <c r="BT105" s="108">
        <f t="shared" si="125"/>
        <v>64090</v>
      </c>
      <c r="BU105" s="108">
        <f t="shared" si="125"/>
        <v>62597.53</v>
      </c>
      <c r="BV105" s="108">
        <f t="shared" si="125"/>
        <v>65029</v>
      </c>
      <c r="BW105" s="108">
        <f t="shared" si="125"/>
        <v>66663</v>
      </c>
      <c r="BX105" s="108">
        <f t="shared" si="125"/>
        <v>64598.25</v>
      </c>
      <c r="BY105" s="108">
        <f t="shared" si="125"/>
        <v>66663</v>
      </c>
      <c r="BZ105" s="108">
        <f t="shared" si="125"/>
        <v>72104.84</v>
      </c>
      <c r="CA105" s="108">
        <f t="shared" si="125"/>
        <v>69154</v>
      </c>
      <c r="CB105" s="108">
        <f t="shared" si="125"/>
        <v>70866.950000000012</v>
      </c>
      <c r="CC105" s="108">
        <f t="shared" si="125"/>
        <v>70866.950000000012</v>
      </c>
      <c r="CD105" s="108">
        <f t="shared" si="125"/>
        <v>67947.41</v>
      </c>
      <c r="CE105" s="108">
        <f t="shared" si="125"/>
        <v>70866.950000000012</v>
      </c>
      <c r="CF105" s="108">
        <f t="shared" si="125"/>
        <v>73838.58</v>
      </c>
    </row>
    <row r="106" spans="1:84" s="113" customFormat="1" hidden="1" x14ac:dyDescent="0.4">
      <c r="A106" s="124" t="s">
        <v>134</v>
      </c>
      <c r="B106" s="124"/>
      <c r="C106" s="110"/>
      <c r="D106" s="106"/>
      <c r="E106" s="106"/>
      <c r="F106" s="132"/>
      <c r="G106" s="116"/>
      <c r="H106" s="116"/>
      <c r="I106" s="140" t="e">
        <f>#REF!-G106</f>
        <v>#REF!</v>
      </c>
      <c r="N106" s="129">
        <f>L106-J106</f>
        <v>0</v>
      </c>
      <c r="T106" s="178"/>
      <c r="U106" s="132"/>
      <c r="V106" s="132"/>
      <c r="W106" s="132"/>
      <c r="X106" s="132"/>
      <c r="Y106" s="130"/>
      <c r="Z106" s="130"/>
      <c r="AA106" s="130"/>
      <c r="AB106" s="132"/>
      <c r="AC106" s="132"/>
      <c r="AU106" s="108"/>
      <c r="AV106" s="108"/>
      <c r="AW106" s="108"/>
      <c r="AX106" s="108"/>
      <c r="AY106" s="108"/>
      <c r="BB106" s="116"/>
      <c r="BS106" s="108"/>
    </row>
    <row r="107" spans="1:84" x14ac:dyDescent="0.4">
      <c r="A107" s="124" t="s">
        <v>134</v>
      </c>
      <c r="B107" s="124"/>
      <c r="C107" s="110"/>
      <c r="D107" s="106"/>
      <c r="E107" s="106"/>
      <c r="F107" s="132"/>
      <c r="G107" s="112"/>
      <c r="H107" s="112"/>
      <c r="I107" s="140"/>
      <c r="N107" s="129"/>
      <c r="T107" s="130"/>
      <c r="U107" s="132"/>
      <c r="V107" s="132"/>
      <c r="W107" s="132"/>
      <c r="X107" s="132"/>
      <c r="Y107" s="130"/>
      <c r="Z107" s="130"/>
      <c r="AA107" s="130"/>
      <c r="AB107" s="132"/>
      <c r="AC107" s="132"/>
      <c r="AU107" s="108"/>
      <c r="AV107" s="108"/>
      <c r="AW107" s="108"/>
      <c r="AX107" s="108"/>
      <c r="AY107" s="108"/>
    </row>
    <row r="108" spans="1:84" ht="12" customHeight="1" x14ac:dyDescent="0.4">
      <c r="A108" s="124" t="s">
        <v>134</v>
      </c>
      <c r="B108" s="124"/>
      <c r="C108" s="180" t="s">
        <v>61</v>
      </c>
      <c r="D108" s="106"/>
      <c r="E108" s="106"/>
      <c r="F108" s="128"/>
      <c r="G108" s="112"/>
      <c r="H108" s="112"/>
      <c r="I108" s="140"/>
      <c r="N108" s="129"/>
      <c r="T108" s="130"/>
      <c r="U108" s="132"/>
      <c r="V108" s="132"/>
      <c r="W108" s="132"/>
      <c r="X108" s="132"/>
      <c r="Y108" s="130"/>
      <c r="Z108" s="130"/>
      <c r="AA108" s="130"/>
      <c r="AB108" s="132"/>
      <c r="AC108" s="132"/>
      <c r="AU108" s="108"/>
      <c r="AV108" s="108"/>
      <c r="AW108" s="108"/>
      <c r="AX108" s="108"/>
      <c r="AY108" s="108"/>
    </row>
    <row r="109" spans="1:84" ht="12.75" customHeight="1" x14ac:dyDescent="0.4">
      <c r="A109" s="124">
        <v>421</v>
      </c>
      <c r="B109" s="124">
        <f>B103+1</f>
        <v>59</v>
      </c>
      <c r="C109" s="110" t="s">
        <v>338</v>
      </c>
      <c r="D109" s="106">
        <v>241365</v>
      </c>
      <c r="E109" s="106">
        <v>242579</v>
      </c>
      <c r="F109" s="128">
        <v>227521</v>
      </c>
      <c r="G109" s="106">
        <v>224227</v>
      </c>
      <c r="H109" s="106">
        <v>214144</v>
      </c>
      <c r="I109" s="129"/>
      <c r="J109" s="130">
        <v>231993</v>
      </c>
      <c r="K109" s="130">
        <v>265575</v>
      </c>
      <c r="L109" s="130">
        <v>321514</v>
      </c>
      <c r="M109" s="132">
        <v>376667</v>
      </c>
      <c r="N109" s="129">
        <f>M109-L109</f>
        <v>55153</v>
      </c>
      <c r="O109" s="138">
        <f>N109/L109</f>
        <v>0.17154151918734487</v>
      </c>
      <c r="P109" s="181" t="s">
        <v>339</v>
      </c>
      <c r="Q109" s="132">
        <v>350829.31</v>
      </c>
      <c r="R109" s="164">
        <v>349346.03</v>
      </c>
      <c r="S109" s="164">
        <v>353675</v>
      </c>
      <c r="T109" s="130">
        <v>331426</v>
      </c>
      <c r="U109" s="132">
        <f>S109-R109</f>
        <v>4328.9699999999721</v>
      </c>
      <c r="V109" s="132">
        <f>U109/Q109</f>
        <v>1.2339248394040886E-2</v>
      </c>
      <c r="W109" s="132"/>
      <c r="X109" s="132"/>
      <c r="Y109" s="130">
        <v>414574</v>
      </c>
      <c r="Z109" s="130">
        <v>414574</v>
      </c>
      <c r="AA109" s="130">
        <v>329893</v>
      </c>
      <c r="AB109" s="132">
        <f>Y109-T109</f>
        <v>83148</v>
      </c>
      <c r="AC109" s="132">
        <f>T109-S109</f>
        <v>-22249</v>
      </c>
      <c r="AD109" s="131">
        <f>AB109/T109</f>
        <v>0.25087953268602947</v>
      </c>
      <c r="AE109" s="133">
        <f>Z109-T109</f>
        <v>83148</v>
      </c>
      <c r="AF109" s="131">
        <f>AE109/T109</f>
        <v>0.25087953268602947</v>
      </c>
      <c r="AG109" s="133">
        <f>AA109-T109</f>
        <v>-1533</v>
      </c>
      <c r="AH109" s="131">
        <f>AG109/T109</f>
        <v>-4.6254669217261173E-3</v>
      </c>
      <c r="AI109" s="130">
        <v>450691</v>
      </c>
      <c r="AJ109" s="182">
        <v>382338</v>
      </c>
      <c r="AK109" s="130">
        <f>AI109-AA109</f>
        <v>120798</v>
      </c>
      <c r="AL109" s="134">
        <f>AK109/AA109</f>
        <v>0.36617327436471825</v>
      </c>
      <c r="AM109" s="130">
        <f>AJ109-AA109</f>
        <v>52445</v>
      </c>
      <c r="AN109" s="134">
        <f>AM109/AA109</f>
        <v>0.15897578911950239</v>
      </c>
      <c r="AO109" s="108">
        <v>377146</v>
      </c>
      <c r="AP109" s="108">
        <f t="shared" ref="AP109:AP121" si="126">AO109-AA109</f>
        <v>47253</v>
      </c>
      <c r="AQ109" s="131">
        <f t="shared" ref="AQ109:AQ121" si="127">AP109/AA109</f>
        <v>0.14323735271739624</v>
      </c>
      <c r="AR109" s="130">
        <v>395754</v>
      </c>
      <c r="AS109" s="132">
        <f t="shared" ref="AS109:AS121" si="128">AR109-AA109</f>
        <v>65861</v>
      </c>
      <c r="AT109" s="131">
        <f t="shared" ref="AT109:AT121" si="129">AS109/AA109</f>
        <v>0.19964352077794922</v>
      </c>
      <c r="AU109" s="108">
        <v>449319</v>
      </c>
      <c r="AV109" s="108">
        <f t="shared" ref="AV109:AV121" si="130">AY109</f>
        <v>377375</v>
      </c>
      <c r="AW109" s="108">
        <f t="shared" ref="AW109:AW121" si="131">AV109-AO109</f>
        <v>229</v>
      </c>
      <c r="AX109" s="131">
        <f>AW109/AO109</f>
        <v>6.0719190976438837E-4</v>
      </c>
      <c r="AY109" s="108">
        <v>377375</v>
      </c>
      <c r="AZ109" s="108">
        <f t="shared" ref="AZ109:AZ121" si="132">AY109-AO109</f>
        <v>229</v>
      </c>
      <c r="BA109" s="131">
        <f>AZ109/AO109</f>
        <v>6.0719190976438837E-4</v>
      </c>
      <c r="BB109" s="112">
        <f t="shared" ref="BB109:BB121" si="133">+AV109-AY109</f>
        <v>0</v>
      </c>
      <c r="BC109" s="108">
        <v>344989</v>
      </c>
      <c r="BD109" s="108">
        <f t="shared" ref="BD109:BD121" si="134">BC109-AY109</f>
        <v>-32386</v>
      </c>
      <c r="BE109" s="134">
        <f>BD109/AY109</f>
        <v>-8.5819145412388206E-2</v>
      </c>
      <c r="BF109" s="108">
        <v>384783</v>
      </c>
      <c r="BG109" s="108">
        <v>391699</v>
      </c>
      <c r="BH109" s="108">
        <v>369862</v>
      </c>
      <c r="BI109" s="108">
        <v>423796</v>
      </c>
      <c r="BJ109" s="108">
        <v>387114</v>
      </c>
      <c r="BK109" s="108">
        <v>387114</v>
      </c>
      <c r="BL109" s="108">
        <v>380896</v>
      </c>
      <c r="BM109" s="108">
        <v>350738.07</v>
      </c>
      <c r="BN109" s="108">
        <v>380896</v>
      </c>
      <c r="BO109" s="108">
        <v>34698</v>
      </c>
      <c r="BP109" s="108">
        <f t="shared" ref="BP109:BP121" si="135">BN109-BK109</f>
        <v>-6218</v>
      </c>
      <c r="BQ109" s="134">
        <f>BP109/BK109</f>
        <v>-1.6062451887557672E-2</v>
      </c>
      <c r="BR109" s="111">
        <f t="shared" ref="BR109:BR121" si="136">BO109-BN109</f>
        <v>-346198</v>
      </c>
      <c r="BS109" s="108">
        <v>346108.07</v>
      </c>
      <c r="BT109" s="108">
        <v>371725</v>
      </c>
      <c r="BU109" s="108">
        <v>370700.76</v>
      </c>
      <c r="BV109" s="108">
        <v>381867</v>
      </c>
      <c r="BW109" s="108">
        <v>406353</v>
      </c>
      <c r="BX109" s="108">
        <v>374024.43</v>
      </c>
      <c r="BY109" s="108">
        <f t="shared" ref="BY109:BY121" si="137">BW109</f>
        <v>406353</v>
      </c>
      <c r="BZ109" s="108">
        <v>394120.68</v>
      </c>
      <c r="CA109" s="108">
        <v>452617.95</v>
      </c>
      <c r="CB109" s="108">
        <v>472606.02</v>
      </c>
      <c r="CC109" s="108">
        <f>472606.02</f>
        <v>472606.02</v>
      </c>
      <c r="CD109" s="108">
        <v>445651.20000000001</v>
      </c>
      <c r="CE109" s="108">
        <v>472606.02</v>
      </c>
      <c r="CF109" s="108">
        <v>512824.34</v>
      </c>
    </row>
    <row r="110" spans="1:84" ht="12.75" customHeight="1" x14ac:dyDescent="0.4">
      <c r="A110" s="124">
        <v>420</v>
      </c>
      <c r="B110" s="124">
        <f>B109+1</f>
        <v>60</v>
      </c>
      <c r="C110" s="110" t="s">
        <v>340</v>
      </c>
      <c r="D110" s="106">
        <v>1815</v>
      </c>
      <c r="E110" s="106">
        <v>2338</v>
      </c>
      <c r="F110" s="128">
        <v>832</v>
      </c>
      <c r="G110" s="106">
        <v>1835</v>
      </c>
      <c r="H110" s="106">
        <v>2701</v>
      </c>
      <c r="I110" s="129"/>
      <c r="J110" s="130">
        <v>4250</v>
      </c>
      <c r="K110" s="130">
        <f>J110</f>
        <v>4250</v>
      </c>
      <c r="L110" s="130">
        <v>2266</v>
      </c>
      <c r="M110" s="132">
        <v>1000</v>
      </c>
      <c r="N110" s="129">
        <f>M110-L110</f>
        <v>-1266</v>
      </c>
      <c r="O110" s="138">
        <f>N110/L110</f>
        <v>-0.55869373345101503</v>
      </c>
      <c r="Q110" s="132">
        <v>1739.57</v>
      </c>
      <c r="R110" s="164">
        <v>3185.17</v>
      </c>
      <c r="S110" s="164">
        <v>3000</v>
      </c>
      <c r="T110" s="130">
        <v>3429</v>
      </c>
      <c r="U110" s="132">
        <f>S110-R110</f>
        <v>-185.17000000000007</v>
      </c>
      <c r="V110" s="132">
        <f>U110/Q110</f>
        <v>-0.10644584581247095</v>
      </c>
      <c r="W110" s="132"/>
      <c r="X110" s="132"/>
      <c r="Y110" s="130">
        <f>T110</f>
        <v>3429</v>
      </c>
      <c r="Z110" s="130">
        <v>3000</v>
      </c>
      <c r="AA110" s="130">
        <v>4983</v>
      </c>
      <c r="AB110" s="132">
        <f>Y110-T110</f>
        <v>0</v>
      </c>
      <c r="AC110" s="132">
        <f>T110-S110</f>
        <v>429</v>
      </c>
      <c r="AD110" s="131">
        <f>AB110/T110</f>
        <v>0</v>
      </c>
      <c r="AE110" s="133">
        <f>Z110-T110</f>
        <v>-429</v>
      </c>
      <c r="AF110" s="131">
        <f>AE110/T110</f>
        <v>-0.12510936132983377</v>
      </c>
      <c r="AG110" s="133">
        <f>AA110-T110</f>
        <v>1554</v>
      </c>
      <c r="AH110" s="131">
        <f>AG110/T110</f>
        <v>0.45319335083114609</v>
      </c>
      <c r="AI110" s="130">
        <v>5000</v>
      </c>
      <c r="AJ110" s="130">
        <v>5000</v>
      </c>
      <c r="AK110" s="130">
        <f>AI110-AA110</f>
        <v>17</v>
      </c>
      <c r="AL110" s="134">
        <f>AK110/AA110</f>
        <v>3.4115994380895043E-3</v>
      </c>
      <c r="AM110" s="130">
        <f>AJ110-AA110</f>
        <v>17</v>
      </c>
      <c r="AN110" s="134">
        <f>AM110/AA110</f>
        <v>3.4115994380895043E-3</v>
      </c>
      <c r="AO110" s="108">
        <v>2819</v>
      </c>
      <c r="AP110" s="108">
        <f t="shared" si="126"/>
        <v>-2164</v>
      </c>
      <c r="AQ110" s="131">
        <f t="shared" si="127"/>
        <v>-0.43427654023680512</v>
      </c>
      <c r="AR110" s="130">
        <v>5000</v>
      </c>
      <c r="AS110" s="132">
        <f t="shared" si="128"/>
        <v>17</v>
      </c>
      <c r="AT110" s="131">
        <f t="shared" si="129"/>
        <v>3.4115994380895043E-3</v>
      </c>
      <c r="AU110" s="108">
        <v>5150</v>
      </c>
      <c r="AV110" s="108">
        <f t="shared" si="130"/>
        <v>1879</v>
      </c>
      <c r="AW110" s="108">
        <f t="shared" si="131"/>
        <v>-940</v>
      </c>
      <c r="AX110" s="131">
        <f>AW110/AO110</f>
        <v>-0.3334515785739624</v>
      </c>
      <c r="AY110" s="108">
        <v>1879</v>
      </c>
      <c r="AZ110" s="108">
        <f t="shared" si="132"/>
        <v>-940</v>
      </c>
      <c r="BA110" s="131">
        <f>AZ110/AO110</f>
        <v>-0.3334515785739624</v>
      </c>
      <c r="BB110" s="112">
        <f t="shared" si="133"/>
        <v>0</v>
      </c>
      <c r="BC110" s="108">
        <v>2518</v>
      </c>
      <c r="BD110" s="108">
        <f t="shared" si="134"/>
        <v>639</v>
      </c>
      <c r="BE110" s="134">
        <f>BD110/AY110</f>
        <v>0.3400745077168707</v>
      </c>
      <c r="BF110" s="108">
        <v>3599</v>
      </c>
      <c r="BG110" s="108">
        <v>3000</v>
      </c>
      <c r="BH110" s="108">
        <v>4197</v>
      </c>
      <c r="BI110" s="108">
        <v>3000</v>
      </c>
      <c r="BJ110" s="108">
        <v>3000</v>
      </c>
      <c r="BK110" s="108">
        <v>3000</v>
      </c>
      <c r="BL110" s="108">
        <v>3090</v>
      </c>
      <c r="BM110" s="108">
        <v>8322.26</v>
      </c>
      <c r="BN110" s="108">
        <v>3090</v>
      </c>
      <c r="BO110" s="108">
        <v>0</v>
      </c>
      <c r="BP110" s="108">
        <f t="shared" si="135"/>
        <v>90</v>
      </c>
      <c r="BQ110" s="134">
        <f>BP110/BK110</f>
        <v>0.03</v>
      </c>
      <c r="BR110" s="111">
        <f t="shared" si="136"/>
        <v>-3090</v>
      </c>
      <c r="BS110" s="108">
        <v>5944.73</v>
      </c>
      <c r="BT110" s="108">
        <v>3000</v>
      </c>
      <c r="BU110" s="108">
        <v>6391.47</v>
      </c>
      <c r="BV110" s="108">
        <v>6155</v>
      </c>
      <c r="BW110" s="108">
        <v>6200</v>
      </c>
      <c r="BX110" s="108">
        <v>6559.67</v>
      </c>
      <c r="BY110" s="108">
        <f t="shared" si="137"/>
        <v>6200</v>
      </c>
      <c r="BZ110" s="108">
        <v>9101.14</v>
      </c>
      <c r="CA110" s="108">
        <v>6526.02</v>
      </c>
      <c r="CB110" s="108">
        <v>6787.06</v>
      </c>
      <c r="CC110" s="108">
        <f>CB110</f>
        <v>6787.06</v>
      </c>
      <c r="CD110" s="108">
        <v>9605.82</v>
      </c>
      <c r="CE110" s="108">
        <f>CC110</f>
        <v>6787.06</v>
      </c>
      <c r="CF110" s="108">
        <v>6787.06</v>
      </c>
    </row>
    <row r="111" spans="1:84" ht="12.75" customHeight="1" x14ac:dyDescent="0.4">
      <c r="A111" s="124">
        <v>411</v>
      </c>
      <c r="B111" s="124">
        <f>B110+1</f>
        <v>61</v>
      </c>
      <c r="C111" s="110" t="s">
        <v>341</v>
      </c>
      <c r="D111" s="106">
        <v>117146</v>
      </c>
      <c r="E111" s="106">
        <v>110632</v>
      </c>
      <c r="F111" s="128">
        <v>95532</v>
      </c>
      <c r="G111" s="106">
        <v>97996</v>
      </c>
      <c r="H111" s="106">
        <v>99524</v>
      </c>
      <c r="I111" s="129"/>
      <c r="J111" s="130">
        <v>96137</v>
      </c>
      <c r="K111" s="130">
        <f>J111</f>
        <v>96137</v>
      </c>
      <c r="L111" s="130">
        <v>63549</v>
      </c>
      <c r="M111" s="132">
        <v>37005</v>
      </c>
      <c r="N111" s="129">
        <f>M111-L111</f>
        <v>-26544</v>
      </c>
      <c r="O111" s="138">
        <f>N111/L111</f>
        <v>-0.41769343341358639</v>
      </c>
      <c r="Q111" s="132">
        <v>59045.02</v>
      </c>
      <c r="R111" s="164">
        <v>78259.12</v>
      </c>
      <c r="S111" s="164">
        <v>58000</v>
      </c>
      <c r="T111" s="130">
        <v>79695</v>
      </c>
      <c r="U111" s="132">
        <f>S111-R111</f>
        <v>-20259.119999999995</v>
      </c>
      <c r="V111" s="132">
        <f>U111/Q111</f>
        <v>-0.34311310251059268</v>
      </c>
      <c r="W111" s="132"/>
      <c r="X111" s="132"/>
      <c r="Y111" s="130">
        <v>110000</v>
      </c>
      <c r="Z111" s="130">
        <v>73000</v>
      </c>
      <c r="AA111" s="130">
        <v>54074</v>
      </c>
      <c r="AB111" s="132">
        <f>Y111-T111</f>
        <v>30305</v>
      </c>
      <c r="AC111" s="132">
        <f>T111-S111</f>
        <v>21695</v>
      </c>
      <c r="AD111" s="131">
        <f>AB111/T111</f>
        <v>0.3802622498274672</v>
      </c>
      <c r="AE111" s="133">
        <f>Z111-T111</f>
        <v>-6695</v>
      </c>
      <c r="AF111" s="131">
        <f>AE111/T111</f>
        <v>-8.4007779659953569E-2</v>
      </c>
      <c r="AG111" s="133">
        <f>AA111-T111</f>
        <v>-25621</v>
      </c>
      <c r="AH111" s="131">
        <f>AG111/T111</f>
        <v>-0.32148817366208671</v>
      </c>
      <c r="AI111" s="130">
        <v>525000</v>
      </c>
      <c r="AJ111" s="130">
        <v>140675</v>
      </c>
      <c r="AK111" s="130">
        <f>AI111-AA111</f>
        <v>470926</v>
      </c>
      <c r="AL111" s="134">
        <f>AK111/AA111</f>
        <v>8.7089174094759034</v>
      </c>
      <c r="AM111" s="130">
        <f>AJ111-AA111</f>
        <v>86601</v>
      </c>
      <c r="AN111" s="134">
        <f>AM111/AA111</f>
        <v>1.6015275363390908</v>
      </c>
      <c r="AO111" s="108">
        <v>121041</v>
      </c>
      <c r="AP111" s="108">
        <f t="shared" si="126"/>
        <v>66967</v>
      </c>
      <c r="AQ111" s="131">
        <f t="shared" si="127"/>
        <v>1.2384325184007101</v>
      </c>
      <c r="AR111" s="130">
        <v>275000</v>
      </c>
      <c r="AS111" s="132">
        <f t="shared" si="128"/>
        <v>220926</v>
      </c>
      <c r="AT111" s="131">
        <f t="shared" si="129"/>
        <v>4.0856234049635685</v>
      </c>
      <c r="AU111" s="108">
        <v>140675</v>
      </c>
      <c r="AV111" s="108">
        <f t="shared" si="130"/>
        <v>51751</v>
      </c>
      <c r="AW111" s="108">
        <f t="shared" si="131"/>
        <v>-69290</v>
      </c>
      <c r="AX111" s="131">
        <f>AW111/AO111</f>
        <v>-0.57245065721532373</v>
      </c>
      <c r="AY111" s="108">
        <v>51751</v>
      </c>
      <c r="AZ111" s="108">
        <f t="shared" si="132"/>
        <v>-69290</v>
      </c>
      <c r="BA111" s="131">
        <f>AZ111/AO111</f>
        <v>-0.57245065721532373</v>
      </c>
      <c r="BB111" s="112">
        <f t="shared" si="133"/>
        <v>0</v>
      </c>
      <c r="BC111" s="108">
        <v>120850</v>
      </c>
      <c r="BD111" s="108">
        <f t="shared" si="134"/>
        <v>69099</v>
      </c>
      <c r="BE111" s="134">
        <f>BD111/AY111</f>
        <v>1.3352205754478175</v>
      </c>
      <c r="BF111" s="108">
        <v>77353</v>
      </c>
      <c r="BG111" s="108">
        <v>113500</v>
      </c>
      <c r="BH111" s="108">
        <v>104639</v>
      </c>
      <c r="BI111" s="108">
        <v>965500</v>
      </c>
      <c r="BJ111" s="108">
        <v>130500</v>
      </c>
      <c r="BK111" s="108">
        <v>130500</v>
      </c>
      <c r="BL111" s="108">
        <v>126500</v>
      </c>
      <c r="BM111" s="108">
        <f>102021.56+26000</f>
        <v>128021.56</v>
      </c>
      <c r="BN111" s="108">
        <v>130500</v>
      </c>
      <c r="BO111" s="108">
        <v>550000</v>
      </c>
      <c r="BP111" s="108">
        <f t="shared" si="135"/>
        <v>0</v>
      </c>
      <c r="BQ111" s="134">
        <f>BP111/BK111</f>
        <v>0</v>
      </c>
      <c r="BR111" s="111">
        <f t="shared" si="136"/>
        <v>419500</v>
      </c>
      <c r="BS111" s="108">
        <f>122860.57+57135.03</f>
        <v>179995.6</v>
      </c>
      <c r="BT111" s="108">
        <v>240525</v>
      </c>
      <c r="BU111" s="108">
        <f>193676.3+76681.81</f>
        <v>270358.11</v>
      </c>
      <c r="BV111" s="108">
        <f>258202+113597</f>
        <v>371799</v>
      </c>
      <c r="BW111" s="108">
        <v>412500</v>
      </c>
      <c r="BX111" s="108">
        <f>233695.08+180693.35</f>
        <v>414388.43</v>
      </c>
      <c r="BY111" s="108">
        <f t="shared" si="137"/>
        <v>412500</v>
      </c>
      <c r="BZ111" s="108">
        <f>164179.4+310059.87</f>
        <v>474239.27</v>
      </c>
      <c r="CA111" s="108">
        <f>412500+160607</f>
        <v>573107</v>
      </c>
      <c r="CB111" s="108">
        <v>412500</v>
      </c>
      <c r="CC111" s="108">
        <v>462500</v>
      </c>
      <c r="CD111" s="108">
        <f>303923.65+331239.9</f>
        <v>635163.55000000005</v>
      </c>
      <c r="CE111" s="108">
        <f t="shared" ref="CE111:CE121" si="138">CC111</f>
        <v>462500</v>
      </c>
      <c r="CF111" s="108">
        <v>512500</v>
      </c>
    </row>
    <row r="112" spans="1:84" ht="12.75" customHeight="1" x14ac:dyDescent="0.4">
      <c r="A112" s="124"/>
      <c r="B112" s="124" t="s">
        <v>342</v>
      </c>
      <c r="C112" s="110" t="s">
        <v>343</v>
      </c>
      <c r="D112" s="106"/>
      <c r="E112" s="106"/>
      <c r="F112" s="128"/>
      <c r="G112" s="106"/>
      <c r="H112" s="106"/>
      <c r="I112" s="129"/>
      <c r="J112" s="130"/>
      <c r="K112" s="130"/>
      <c r="L112" s="130"/>
      <c r="M112" s="132"/>
      <c r="N112" s="129"/>
      <c r="O112" s="138"/>
      <c r="Q112" s="132"/>
      <c r="R112" s="164"/>
      <c r="S112" s="164"/>
      <c r="T112" s="130"/>
      <c r="U112" s="132"/>
      <c r="V112" s="132"/>
      <c r="W112" s="132"/>
      <c r="X112" s="132"/>
      <c r="Y112" s="130"/>
      <c r="Z112" s="130"/>
      <c r="AA112" s="130">
        <v>55000</v>
      </c>
      <c r="AB112" s="132"/>
      <c r="AC112" s="132"/>
      <c r="AD112" s="131"/>
      <c r="AE112" s="133"/>
      <c r="AF112" s="131"/>
      <c r="AG112" s="133"/>
      <c r="AH112" s="131"/>
      <c r="AI112" s="130"/>
      <c r="AJ112" s="130"/>
      <c r="AK112" s="130"/>
      <c r="AL112" s="134"/>
      <c r="AM112" s="130"/>
      <c r="AN112" s="134"/>
      <c r="AO112" s="108">
        <f>AJ112</f>
        <v>0</v>
      </c>
      <c r="AP112" s="108">
        <f t="shared" si="126"/>
        <v>-55000</v>
      </c>
      <c r="AQ112" s="131">
        <f t="shared" si="127"/>
        <v>-1</v>
      </c>
      <c r="AR112" s="130"/>
      <c r="AS112" s="132">
        <f t="shared" si="128"/>
        <v>-55000</v>
      </c>
      <c r="AT112" s="131">
        <f t="shared" si="129"/>
        <v>-1</v>
      </c>
      <c r="AU112" s="108"/>
      <c r="AV112" s="108">
        <f t="shared" si="130"/>
        <v>0</v>
      </c>
      <c r="AW112" s="108">
        <f t="shared" si="131"/>
        <v>0</v>
      </c>
      <c r="AX112" s="131"/>
      <c r="AY112" s="108">
        <v>0</v>
      </c>
      <c r="AZ112" s="108">
        <f t="shared" si="132"/>
        <v>0</v>
      </c>
      <c r="BA112" s="131"/>
      <c r="BB112" s="112">
        <f t="shared" si="133"/>
        <v>0</v>
      </c>
      <c r="BC112" s="108">
        <v>0</v>
      </c>
      <c r="BD112" s="108">
        <f t="shared" si="134"/>
        <v>0</v>
      </c>
      <c r="BE112" s="134"/>
      <c r="BF112" s="108">
        <f>BC112</f>
        <v>0</v>
      </c>
      <c r="BG112" s="108">
        <v>0</v>
      </c>
      <c r="BH112" s="108">
        <v>0</v>
      </c>
      <c r="BI112" s="108">
        <v>0</v>
      </c>
      <c r="BJ112" s="108">
        <v>0</v>
      </c>
      <c r="BK112" s="108">
        <v>0</v>
      </c>
      <c r="BL112" s="108"/>
      <c r="BM112" s="108">
        <v>0</v>
      </c>
      <c r="BN112" s="108">
        <v>0</v>
      </c>
      <c r="BO112" s="108">
        <v>0</v>
      </c>
      <c r="BP112" s="108">
        <f t="shared" si="135"/>
        <v>0</v>
      </c>
      <c r="BQ112" s="134"/>
      <c r="BR112" s="111">
        <f t="shared" si="136"/>
        <v>0</v>
      </c>
      <c r="BS112" s="108">
        <v>0</v>
      </c>
      <c r="BT112" s="108">
        <v>0</v>
      </c>
      <c r="BU112" s="108">
        <v>0</v>
      </c>
      <c r="BV112" s="108">
        <v>0</v>
      </c>
      <c r="BW112" s="108">
        <v>0</v>
      </c>
      <c r="BX112" s="108">
        <v>0</v>
      </c>
      <c r="BY112" s="108">
        <f t="shared" si="137"/>
        <v>0</v>
      </c>
      <c r="BZ112" s="108">
        <v>0</v>
      </c>
      <c r="CA112" s="108">
        <v>0</v>
      </c>
      <c r="CB112" s="108">
        <v>0</v>
      </c>
      <c r="CC112" s="108">
        <f t="shared" ref="CC112:CC121" si="139">CB112</f>
        <v>0</v>
      </c>
      <c r="CD112" s="108">
        <v>0</v>
      </c>
      <c r="CE112" s="108">
        <f t="shared" si="138"/>
        <v>0</v>
      </c>
      <c r="CF112" s="108">
        <v>0</v>
      </c>
    </row>
    <row r="113" spans="1:84" ht="12.75" customHeight="1" x14ac:dyDescent="0.4">
      <c r="A113" s="124">
        <v>412</v>
      </c>
      <c r="B113" s="124">
        <f>B111+1</f>
        <v>62</v>
      </c>
      <c r="C113" s="110" t="s">
        <v>344</v>
      </c>
      <c r="D113" s="106">
        <v>19735</v>
      </c>
      <c r="E113" s="106">
        <v>19152</v>
      </c>
      <c r="F113" s="128">
        <v>20290</v>
      </c>
      <c r="G113" s="106">
        <v>20330</v>
      </c>
      <c r="H113" s="106">
        <v>20329</v>
      </c>
      <c r="I113" s="129"/>
      <c r="J113" s="130">
        <v>23368</v>
      </c>
      <c r="K113" s="130">
        <f>J113</f>
        <v>23368</v>
      </c>
      <c r="L113" s="130">
        <v>5300</v>
      </c>
      <c r="M113" s="132">
        <v>5300</v>
      </c>
      <c r="N113" s="129">
        <f>M113-L113</f>
        <v>0</v>
      </c>
      <c r="O113" s="138">
        <f>N113/L113</f>
        <v>0</v>
      </c>
      <c r="Q113" s="132">
        <v>6095.3</v>
      </c>
      <c r="R113" s="164">
        <v>4843.54</v>
      </c>
      <c r="S113" s="164">
        <v>5300</v>
      </c>
      <c r="T113" s="130">
        <v>14073</v>
      </c>
      <c r="U113" s="132">
        <f t="shared" ref="U113:U121" si="140">S113-R113</f>
        <v>456.46000000000004</v>
      </c>
      <c r="V113" s="132">
        <f>U113/Q113</f>
        <v>7.4887208176791953E-2</v>
      </c>
      <c r="W113" s="132"/>
      <c r="X113" s="132"/>
      <c r="Y113" s="130">
        <v>15013</v>
      </c>
      <c r="Z113" s="130">
        <v>13513</v>
      </c>
      <c r="AA113" s="130">
        <v>19254</v>
      </c>
      <c r="AB113" s="132">
        <f t="shared" ref="AB113:AB121" si="141">Y113-T113</f>
        <v>940</v>
      </c>
      <c r="AC113" s="132">
        <f t="shared" ref="AC113:AC121" si="142">T113-S113</f>
        <v>8773</v>
      </c>
      <c r="AD113" s="131">
        <f t="shared" ref="AD113:AD121" si="143">AB113/T113</f>
        <v>6.6794571164641506E-2</v>
      </c>
      <c r="AE113" s="133">
        <f t="shared" ref="AE113:AE121" si="144">Z113-T113</f>
        <v>-560</v>
      </c>
      <c r="AF113" s="131">
        <f t="shared" ref="AF113:AF121" si="145">AE113/T113</f>
        <v>-3.9792510481063026E-2</v>
      </c>
      <c r="AG113" s="133">
        <f t="shared" ref="AG113:AG121" si="146">AA113-T113</f>
        <v>5181</v>
      </c>
      <c r="AH113" s="131">
        <f t="shared" ref="AH113:AH121" si="147">AG113/T113</f>
        <v>0.36815178000426346</v>
      </c>
      <c r="AI113" s="130">
        <v>15810</v>
      </c>
      <c r="AJ113" s="130">
        <v>14500</v>
      </c>
      <c r="AK113" s="130">
        <f t="shared" ref="AK113:AK121" si="148">AI113-AA113</f>
        <v>-3444</v>
      </c>
      <c r="AL113" s="134">
        <f t="shared" ref="AL113:AL121" si="149">AK113/AA113</f>
        <v>-0.17887192271735744</v>
      </c>
      <c r="AM113" s="130">
        <f t="shared" ref="AM113:AM121" si="150">AJ113-AA113</f>
        <v>-4754</v>
      </c>
      <c r="AN113" s="134">
        <f t="shared" ref="AN113:AN121" si="151">AM113/AA113</f>
        <v>-0.24690973304248467</v>
      </c>
      <c r="AO113" s="108">
        <v>18059</v>
      </c>
      <c r="AP113" s="108">
        <f t="shared" si="126"/>
        <v>-1195</v>
      </c>
      <c r="AQ113" s="131">
        <f t="shared" si="127"/>
        <v>-6.2065025449257294E-2</v>
      </c>
      <c r="AR113" s="130">
        <v>14500</v>
      </c>
      <c r="AS113" s="132">
        <f t="shared" si="128"/>
        <v>-4754</v>
      </c>
      <c r="AT113" s="131">
        <f t="shared" si="129"/>
        <v>-0.24690973304248467</v>
      </c>
      <c r="AU113" s="108">
        <v>16200</v>
      </c>
      <c r="AV113" s="108">
        <f t="shared" si="130"/>
        <v>19845</v>
      </c>
      <c r="AW113" s="108">
        <f t="shared" si="131"/>
        <v>1786</v>
      </c>
      <c r="AX113" s="131">
        <f t="shared" ref="AX113:AX121" si="152">AW113/AO113</f>
        <v>9.8898056370784651E-2</v>
      </c>
      <c r="AY113" s="108">
        <v>19845</v>
      </c>
      <c r="AZ113" s="108">
        <f t="shared" si="132"/>
        <v>1786</v>
      </c>
      <c r="BA113" s="131">
        <f t="shared" ref="BA113:BA121" si="153">AZ113/AO113</f>
        <v>9.8898056370784651E-2</v>
      </c>
      <c r="BB113" s="112">
        <f t="shared" si="133"/>
        <v>0</v>
      </c>
      <c r="BC113" s="108">
        <v>16870</v>
      </c>
      <c r="BD113" s="108">
        <f t="shared" si="134"/>
        <v>-2975</v>
      </c>
      <c r="BE113" s="134">
        <f t="shared" ref="BE113:BE121" si="154">BD113/AY113</f>
        <v>-0.14991181657848324</v>
      </c>
      <c r="BF113" s="108">
        <v>18343</v>
      </c>
      <c r="BG113" s="108">
        <v>17463</v>
      </c>
      <c r="BH113" s="108">
        <v>15494</v>
      </c>
      <c r="BI113" s="108">
        <v>18183</v>
      </c>
      <c r="BJ113" s="108">
        <v>18183</v>
      </c>
      <c r="BK113" s="108">
        <v>18183</v>
      </c>
      <c r="BL113" s="108">
        <v>19691</v>
      </c>
      <c r="BM113" s="108">
        <v>17131.990000000002</v>
      </c>
      <c r="BN113" s="108">
        <v>19691</v>
      </c>
      <c r="BO113" s="108">
        <v>0</v>
      </c>
      <c r="BP113" s="108">
        <f t="shared" si="135"/>
        <v>1508</v>
      </c>
      <c r="BQ113" s="134">
        <f t="shared" ref="BQ113:BQ121" si="155">BP113/BK113</f>
        <v>8.2934609250398722E-2</v>
      </c>
      <c r="BR113" s="111">
        <f t="shared" si="136"/>
        <v>-19691</v>
      </c>
      <c r="BS113" s="108">
        <f>20790.6+2831.11</f>
        <v>23621.71</v>
      </c>
      <c r="BT113" s="108">
        <v>1000</v>
      </c>
      <c r="BU113" s="108">
        <v>1298.3399999999999</v>
      </c>
      <c r="BV113" s="108">
        <v>1000</v>
      </c>
      <c r="BW113" s="108">
        <v>1020</v>
      </c>
      <c r="BX113" s="108">
        <v>519.88</v>
      </c>
      <c r="BY113" s="108">
        <f t="shared" si="137"/>
        <v>1020</v>
      </c>
      <c r="BZ113" s="108">
        <v>1503.62</v>
      </c>
      <c r="CA113" s="108">
        <v>1040</v>
      </c>
      <c r="CB113" s="108">
        <v>1040</v>
      </c>
      <c r="CC113" s="108">
        <f t="shared" si="139"/>
        <v>1040</v>
      </c>
      <c r="CD113" s="108">
        <v>1048.6600000000001</v>
      </c>
      <c r="CE113" s="108">
        <f t="shared" si="138"/>
        <v>1040</v>
      </c>
      <c r="CF113" s="108">
        <v>1040</v>
      </c>
    </row>
    <row r="114" spans="1:84" ht="12.75" customHeight="1" x14ac:dyDescent="0.4">
      <c r="A114" s="124">
        <v>425</v>
      </c>
      <c r="B114" s="124">
        <f t="shared" ref="B114:B121" si="156">B113+1</f>
        <v>63</v>
      </c>
      <c r="C114" s="110" t="s">
        <v>345</v>
      </c>
      <c r="D114" s="106">
        <v>10604</v>
      </c>
      <c r="E114" s="106">
        <v>9636</v>
      </c>
      <c r="F114" s="128">
        <v>10283</v>
      </c>
      <c r="G114" s="106">
        <v>10574</v>
      </c>
      <c r="H114" s="106">
        <v>10654</v>
      </c>
      <c r="I114" s="129"/>
      <c r="J114" s="130">
        <v>11106</v>
      </c>
      <c r="K114" s="130">
        <f>J114</f>
        <v>11106</v>
      </c>
      <c r="L114" s="130">
        <v>4527</v>
      </c>
      <c r="M114" s="132">
        <v>5000</v>
      </c>
      <c r="N114" s="129">
        <f>M114-L114</f>
        <v>473</v>
      </c>
      <c r="O114" s="138">
        <f>N114/L114</f>
        <v>0.10448420587585598</v>
      </c>
      <c r="Q114" s="132">
        <v>6299.67</v>
      </c>
      <c r="R114" s="164">
        <v>8767</v>
      </c>
      <c r="S114" s="164">
        <v>5000</v>
      </c>
      <c r="T114" s="130">
        <v>5079</v>
      </c>
      <c r="U114" s="132">
        <f t="shared" si="140"/>
        <v>-3767</v>
      </c>
      <c r="V114" s="132">
        <f>U114/Q114</f>
        <v>-0.59796783006093968</v>
      </c>
      <c r="W114" s="132"/>
      <c r="X114" s="132"/>
      <c r="Y114" s="130">
        <v>7500</v>
      </c>
      <c r="Z114" s="130">
        <v>5950</v>
      </c>
      <c r="AA114" s="130">
        <v>7765</v>
      </c>
      <c r="AB114" s="132">
        <f t="shared" si="141"/>
        <v>2421</v>
      </c>
      <c r="AC114" s="132">
        <f t="shared" si="142"/>
        <v>79</v>
      </c>
      <c r="AD114" s="131">
        <f t="shared" si="143"/>
        <v>0.47666863555818073</v>
      </c>
      <c r="AE114" s="133">
        <f t="shared" si="144"/>
        <v>871</v>
      </c>
      <c r="AF114" s="131">
        <f t="shared" si="145"/>
        <v>0.17149045087615672</v>
      </c>
      <c r="AG114" s="133">
        <f t="shared" si="146"/>
        <v>2686</v>
      </c>
      <c r="AH114" s="131">
        <f t="shared" si="147"/>
        <v>0.52884426068123647</v>
      </c>
      <c r="AI114" s="130">
        <v>15000</v>
      </c>
      <c r="AJ114" s="130">
        <v>10000</v>
      </c>
      <c r="AK114" s="130">
        <f t="shared" si="148"/>
        <v>7235</v>
      </c>
      <c r="AL114" s="134">
        <f t="shared" si="149"/>
        <v>0.93174500965872509</v>
      </c>
      <c r="AM114" s="130">
        <f t="shared" si="150"/>
        <v>2235</v>
      </c>
      <c r="AN114" s="134">
        <f t="shared" si="151"/>
        <v>0.28783000643915002</v>
      </c>
      <c r="AO114" s="108">
        <v>11499</v>
      </c>
      <c r="AP114" s="108">
        <f t="shared" si="126"/>
        <v>3734</v>
      </c>
      <c r="AQ114" s="131">
        <f t="shared" si="127"/>
        <v>0.48087572440437865</v>
      </c>
      <c r="AR114" s="130">
        <v>15000</v>
      </c>
      <c r="AS114" s="132">
        <f t="shared" si="128"/>
        <v>7235</v>
      </c>
      <c r="AT114" s="131">
        <f t="shared" si="129"/>
        <v>0.93174500965872509</v>
      </c>
      <c r="AU114" s="108">
        <v>27650</v>
      </c>
      <c r="AV114" s="108">
        <f t="shared" si="130"/>
        <v>17205</v>
      </c>
      <c r="AW114" s="108">
        <f t="shared" si="131"/>
        <v>5706</v>
      </c>
      <c r="AX114" s="131">
        <f t="shared" si="152"/>
        <v>0.49621706235324808</v>
      </c>
      <c r="AY114" s="108">
        <v>17205</v>
      </c>
      <c r="AZ114" s="108">
        <f t="shared" si="132"/>
        <v>5706</v>
      </c>
      <c r="BA114" s="131">
        <f t="shared" si="153"/>
        <v>0.49621706235324808</v>
      </c>
      <c r="BB114" s="112">
        <f t="shared" si="133"/>
        <v>0</v>
      </c>
      <c r="BC114" s="108">
        <v>16400</v>
      </c>
      <c r="BD114" s="108">
        <f t="shared" si="134"/>
        <v>-805</v>
      </c>
      <c r="BE114" s="134">
        <f t="shared" si="154"/>
        <v>-4.6788724208079044E-2</v>
      </c>
      <c r="BF114" s="108">
        <v>13951</v>
      </c>
      <c r="BG114" s="108">
        <v>12650</v>
      </c>
      <c r="BH114" s="108">
        <v>11713</v>
      </c>
      <c r="BI114" s="108">
        <v>42225</v>
      </c>
      <c r="BJ114" s="108">
        <v>38575</v>
      </c>
      <c r="BK114" s="108">
        <v>38575</v>
      </c>
      <c r="BL114" s="108">
        <v>26575</v>
      </c>
      <c r="BM114" s="108">
        <f>22763.79+14800</f>
        <v>37563.79</v>
      </c>
      <c r="BN114" s="108">
        <v>26575</v>
      </c>
      <c r="BO114" s="108">
        <v>0</v>
      </c>
      <c r="BP114" s="108">
        <f t="shared" si="135"/>
        <v>-12000</v>
      </c>
      <c r="BQ114" s="134">
        <f t="shared" si="155"/>
        <v>-0.31108230719377833</v>
      </c>
      <c r="BR114" s="111">
        <f t="shared" si="136"/>
        <v>-26575</v>
      </c>
      <c r="BS114" s="108">
        <v>25007.18</v>
      </c>
      <c r="BT114" s="108">
        <v>26575</v>
      </c>
      <c r="BU114" s="108">
        <v>29887.87</v>
      </c>
      <c r="BV114" s="108">
        <v>27000</v>
      </c>
      <c r="BW114" s="108">
        <v>27745</v>
      </c>
      <c r="BX114" s="108">
        <v>22884.2</v>
      </c>
      <c r="BY114" s="108">
        <f t="shared" si="137"/>
        <v>27745</v>
      </c>
      <c r="BZ114" s="108">
        <v>22856.47</v>
      </c>
      <c r="CA114" s="108">
        <v>28253</v>
      </c>
      <c r="CB114" s="108">
        <v>28253</v>
      </c>
      <c r="CC114" s="108">
        <f t="shared" si="139"/>
        <v>28253</v>
      </c>
      <c r="CD114" s="108">
        <v>4710.16</v>
      </c>
      <c r="CE114" s="108">
        <f t="shared" si="138"/>
        <v>28253</v>
      </c>
      <c r="CF114" s="108">
        <v>28253</v>
      </c>
    </row>
    <row r="115" spans="1:84" ht="12.75" customHeight="1" x14ac:dyDescent="0.4">
      <c r="A115" s="124">
        <v>429</v>
      </c>
      <c r="B115" s="124">
        <f t="shared" si="156"/>
        <v>64</v>
      </c>
      <c r="C115" s="110" t="s">
        <v>346</v>
      </c>
      <c r="D115" s="106">
        <v>102804</v>
      </c>
      <c r="E115" s="106">
        <v>102744</v>
      </c>
      <c r="F115" s="128">
        <v>101607</v>
      </c>
      <c r="G115" s="106">
        <v>102333</v>
      </c>
      <c r="H115" s="106">
        <v>93880</v>
      </c>
      <c r="I115" s="129"/>
      <c r="J115" s="130">
        <v>97302</v>
      </c>
      <c r="K115" s="130">
        <v>109218</v>
      </c>
      <c r="L115" s="130">
        <v>37166</v>
      </c>
      <c r="M115" s="132">
        <v>48344</v>
      </c>
      <c r="N115" s="129">
        <f>M115-L115</f>
        <v>11178</v>
      </c>
      <c r="O115" s="138">
        <f>N115/L115</f>
        <v>0.30075875800462787</v>
      </c>
      <c r="Q115" s="132">
        <v>58477.46</v>
      </c>
      <c r="R115" s="164">
        <v>63343.11</v>
      </c>
      <c r="S115" s="164">
        <v>48344</v>
      </c>
      <c r="T115" s="147">
        <v>44340</v>
      </c>
      <c r="U115" s="132">
        <f t="shared" si="140"/>
        <v>-14999.11</v>
      </c>
      <c r="V115" s="132">
        <f>U115/Q115</f>
        <v>-0.25649386960377557</v>
      </c>
      <c r="W115" s="132"/>
      <c r="X115" s="132"/>
      <c r="Y115" s="130">
        <v>51300</v>
      </c>
      <c r="Z115" s="130">
        <v>48344</v>
      </c>
      <c r="AA115" s="147">
        <v>43886</v>
      </c>
      <c r="AB115" s="132">
        <f t="shared" si="141"/>
        <v>6960</v>
      </c>
      <c r="AC115" s="132">
        <f t="shared" si="142"/>
        <v>-4004</v>
      </c>
      <c r="AD115" s="131">
        <f t="shared" si="143"/>
        <v>0.15696887686062247</v>
      </c>
      <c r="AE115" s="133">
        <f t="shared" si="144"/>
        <v>4004</v>
      </c>
      <c r="AF115" s="131">
        <f t="shared" si="145"/>
        <v>9.030221019395579E-2</v>
      </c>
      <c r="AG115" s="133">
        <f t="shared" si="146"/>
        <v>-454</v>
      </c>
      <c r="AH115" s="131">
        <f t="shared" si="147"/>
        <v>-1.0239061795218765E-2</v>
      </c>
      <c r="AI115" s="130">
        <v>60021</v>
      </c>
      <c r="AJ115" s="147">
        <v>52000</v>
      </c>
      <c r="AK115" s="130">
        <f t="shared" si="148"/>
        <v>16135</v>
      </c>
      <c r="AL115" s="134">
        <f t="shared" si="149"/>
        <v>0.36765711160734632</v>
      </c>
      <c r="AM115" s="147">
        <f t="shared" si="150"/>
        <v>8114</v>
      </c>
      <c r="AN115" s="153">
        <f t="shared" si="151"/>
        <v>0.18488811921797385</v>
      </c>
      <c r="AO115" s="108">
        <v>45265</v>
      </c>
      <c r="AP115" s="108">
        <f t="shared" si="126"/>
        <v>1379</v>
      </c>
      <c r="AQ115" s="131">
        <f t="shared" si="127"/>
        <v>3.1422321469261265E-2</v>
      </c>
      <c r="AR115" s="130">
        <v>60021</v>
      </c>
      <c r="AS115" s="132">
        <f t="shared" si="128"/>
        <v>16135</v>
      </c>
      <c r="AT115" s="131">
        <f t="shared" si="129"/>
        <v>0.36765711160734632</v>
      </c>
      <c r="AU115" s="108">
        <v>52000</v>
      </c>
      <c r="AV115" s="108">
        <f t="shared" si="130"/>
        <v>61851</v>
      </c>
      <c r="AW115" s="108">
        <f t="shared" si="131"/>
        <v>16586</v>
      </c>
      <c r="AX115" s="131">
        <f t="shared" si="152"/>
        <v>0.36641997128023862</v>
      </c>
      <c r="AY115" s="108">
        <v>61851</v>
      </c>
      <c r="AZ115" s="108">
        <f t="shared" si="132"/>
        <v>16586</v>
      </c>
      <c r="BA115" s="131">
        <f t="shared" si="153"/>
        <v>0.36641997128023862</v>
      </c>
      <c r="BB115" s="112">
        <f t="shared" si="133"/>
        <v>0</v>
      </c>
      <c r="BC115" s="108">
        <v>53035</v>
      </c>
      <c r="BD115" s="108">
        <f t="shared" si="134"/>
        <v>-8816</v>
      </c>
      <c r="BE115" s="134">
        <f t="shared" si="154"/>
        <v>-0.14253609480849139</v>
      </c>
      <c r="BF115" s="108">
        <v>38814</v>
      </c>
      <c r="BG115" s="108">
        <v>53035</v>
      </c>
      <c r="BH115" s="108">
        <v>44286</v>
      </c>
      <c r="BI115" s="108">
        <v>56315</v>
      </c>
      <c r="BJ115" s="108">
        <v>56315</v>
      </c>
      <c r="BK115" s="108">
        <v>56315</v>
      </c>
      <c r="BL115" s="108">
        <v>59444</v>
      </c>
      <c r="BM115" s="108">
        <v>55382.99</v>
      </c>
      <c r="BN115" s="108">
        <v>59444</v>
      </c>
      <c r="BO115" s="108">
        <v>0</v>
      </c>
      <c r="BP115" s="108">
        <f t="shared" si="135"/>
        <v>3129</v>
      </c>
      <c r="BQ115" s="134">
        <f t="shared" si="155"/>
        <v>5.5562461155997514E-2</v>
      </c>
      <c r="BR115" s="111">
        <f t="shared" si="136"/>
        <v>-59444</v>
      </c>
      <c r="BS115" s="108">
        <f>1835.71+30040.45+668.25+22936.48</f>
        <v>55480.89</v>
      </c>
      <c r="BT115" s="108">
        <v>64588</v>
      </c>
      <c r="BU115" s="108">
        <f>24727.84+26565.91+185.34+8645.84</f>
        <v>60124.929999999993</v>
      </c>
      <c r="BV115" s="108">
        <v>67817</v>
      </c>
      <c r="BW115" s="108">
        <f>70843</f>
        <v>70843</v>
      </c>
      <c r="BX115" s="108">
        <f>4527.19+1665.41+21338.37+18328.72</f>
        <v>45859.69</v>
      </c>
      <c r="BY115" s="108">
        <f t="shared" si="137"/>
        <v>70843</v>
      </c>
      <c r="BZ115" s="108">
        <f>5829.78+2997.93+30302.68+12201.46</f>
        <v>51331.85</v>
      </c>
      <c r="CA115" s="108">
        <f>8000+30000+2000+32550+15000</f>
        <v>87550</v>
      </c>
      <c r="CB115" s="108">
        <v>73480</v>
      </c>
      <c r="CC115" s="108">
        <f t="shared" si="139"/>
        <v>73480</v>
      </c>
      <c r="CD115" s="108">
        <f>9754.4+1781.43+20332.9+23611.03+14832.5</f>
        <v>70312.260000000009</v>
      </c>
      <c r="CE115" s="108">
        <f t="shared" si="138"/>
        <v>73480</v>
      </c>
      <c r="CF115" s="108">
        <f>7850+31700+2000+31930</f>
        <v>73480</v>
      </c>
    </row>
    <row r="116" spans="1:84" x14ac:dyDescent="0.4">
      <c r="A116" s="124" t="s">
        <v>134</v>
      </c>
      <c r="B116" s="124">
        <f t="shared" si="156"/>
        <v>65</v>
      </c>
      <c r="C116" s="110" t="s">
        <v>347</v>
      </c>
      <c r="D116" s="106"/>
      <c r="E116" s="106"/>
      <c r="F116" s="128"/>
      <c r="G116" s="112"/>
      <c r="H116" s="112"/>
      <c r="I116" s="140"/>
      <c r="J116" s="130">
        <v>29132</v>
      </c>
      <c r="L116" s="130">
        <v>27728</v>
      </c>
      <c r="M116" s="130">
        <v>20000</v>
      </c>
      <c r="N116" s="129"/>
      <c r="O116" s="175"/>
      <c r="Q116" s="130">
        <v>29198.95</v>
      </c>
      <c r="R116" s="164">
        <v>30824.57</v>
      </c>
      <c r="S116" s="164">
        <v>30000</v>
      </c>
      <c r="T116" s="130">
        <v>40199</v>
      </c>
      <c r="U116" s="132">
        <f t="shared" si="140"/>
        <v>-824.56999999999971</v>
      </c>
      <c r="V116" s="132"/>
      <c r="W116" s="132"/>
      <c r="X116" s="132"/>
      <c r="Y116" s="130">
        <v>34500</v>
      </c>
      <c r="Z116" s="130">
        <v>34500</v>
      </c>
      <c r="AA116" s="130">
        <v>44265</v>
      </c>
      <c r="AB116" s="132">
        <f t="shared" si="141"/>
        <v>-5699</v>
      </c>
      <c r="AC116" s="132">
        <f t="shared" si="142"/>
        <v>10199</v>
      </c>
      <c r="AD116" s="131">
        <f t="shared" si="143"/>
        <v>-0.1417696957635762</v>
      </c>
      <c r="AE116" s="133">
        <f t="shared" si="144"/>
        <v>-5699</v>
      </c>
      <c r="AF116" s="131">
        <f t="shared" si="145"/>
        <v>-0.1417696957635762</v>
      </c>
      <c r="AG116" s="133">
        <f t="shared" si="146"/>
        <v>4066</v>
      </c>
      <c r="AH116" s="131">
        <f t="shared" si="147"/>
        <v>0.10114679469638549</v>
      </c>
      <c r="AI116" s="130">
        <v>54000</v>
      </c>
      <c r="AJ116" s="130">
        <v>30000</v>
      </c>
      <c r="AK116" s="130">
        <f t="shared" si="148"/>
        <v>9735</v>
      </c>
      <c r="AL116" s="134">
        <f t="shared" si="149"/>
        <v>0.21992544900033886</v>
      </c>
      <c r="AM116" s="130">
        <f t="shared" si="150"/>
        <v>-14265</v>
      </c>
      <c r="AN116" s="134">
        <f t="shared" si="151"/>
        <v>-0.32226363944425618</v>
      </c>
      <c r="AO116" s="136">
        <v>47424</v>
      </c>
      <c r="AP116" s="108">
        <f t="shared" si="126"/>
        <v>3159</v>
      </c>
      <c r="AQ116" s="131">
        <f t="shared" si="127"/>
        <v>7.1365638766519829E-2</v>
      </c>
      <c r="AR116" s="130">
        <v>54000</v>
      </c>
      <c r="AS116" s="132">
        <f t="shared" si="128"/>
        <v>9735</v>
      </c>
      <c r="AT116" s="131">
        <f t="shared" si="129"/>
        <v>0.21992544900033886</v>
      </c>
      <c r="AU116" s="108">
        <v>57000</v>
      </c>
      <c r="AV116" s="108">
        <f t="shared" si="130"/>
        <v>55337</v>
      </c>
      <c r="AW116" s="108">
        <f t="shared" si="131"/>
        <v>7913</v>
      </c>
      <c r="AX116" s="131">
        <f t="shared" si="152"/>
        <v>0.16685644399460189</v>
      </c>
      <c r="AY116" s="108">
        <v>55337</v>
      </c>
      <c r="AZ116" s="108">
        <f t="shared" si="132"/>
        <v>7913</v>
      </c>
      <c r="BA116" s="131">
        <f t="shared" si="153"/>
        <v>0.16685644399460189</v>
      </c>
      <c r="BB116" s="112">
        <f t="shared" si="133"/>
        <v>0</v>
      </c>
      <c r="BC116" s="108">
        <v>57000</v>
      </c>
      <c r="BD116" s="108">
        <f t="shared" si="134"/>
        <v>1663</v>
      </c>
      <c r="BE116" s="134">
        <f t="shared" si="154"/>
        <v>3.0052225454939734E-2</v>
      </c>
      <c r="BF116" s="108">
        <v>47626</v>
      </c>
      <c r="BG116" s="108">
        <v>55550</v>
      </c>
      <c r="BH116" s="108">
        <v>50276</v>
      </c>
      <c r="BI116" s="108">
        <v>58500</v>
      </c>
      <c r="BJ116" s="108">
        <v>58500</v>
      </c>
      <c r="BK116" s="108">
        <v>58500</v>
      </c>
      <c r="BL116" s="108">
        <v>62545</v>
      </c>
      <c r="BM116" s="108">
        <v>60025.72</v>
      </c>
      <c r="BN116" s="108">
        <v>62545</v>
      </c>
      <c r="BO116" s="108">
        <v>0</v>
      </c>
      <c r="BP116" s="108">
        <f t="shared" si="135"/>
        <v>4045</v>
      </c>
      <c r="BQ116" s="134">
        <f t="shared" si="155"/>
        <v>6.9145299145299141E-2</v>
      </c>
      <c r="BR116" s="111">
        <f t="shared" si="136"/>
        <v>-62545</v>
      </c>
      <c r="BS116" s="108">
        <f>3348.21+14078.32+45020.99</f>
        <v>62447.519999999997</v>
      </c>
      <c r="BT116" s="108">
        <v>65800</v>
      </c>
      <c r="BU116" s="108">
        <f>958.95+16752.61+52122.23</f>
        <v>69833.790000000008</v>
      </c>
      <c r="BV116" s="108">
        <v>65800</v>
      </c>
      <c r="BW116" s="108">
        <f>67500+4925</f>
        <v>72425</v>
      </c>
      <c r="BX116" s="108">
        <f>4237.58+21885.64+45096.87</f>
        <v>71220.09</v>
      </c>
      <c r="BY116" s="108">
        <f t="shared" si="137"/>
        <v>72425</v>
      </c>
      <c r="BZ116" s="108">
        <f>1494.93+15224.72+29187.76</f>
        <v>45907.409999999996</v>
      </c>
      <c r="CA116" s="108">
        <f>5000+22425+47250</f>
        <v>74675</v>
      </c>
      <c r="CB116" s="108">
        <v>76025</v>
      </c>
      <c r="CC116" s="108">
        <f t="shared" si="139"/>
        <v>76025</v>
      </c>
      <c r="CD116" s="108">
        <f>3506.43+10811.42+28913.02</f>
        <v>43230.87</v>
      </c>
      <c r="CE116" s="108">
        <f t="shared" si="138"/>
        <v>76025</v>
      </c>
      <c r="CF116" s="108">
        <f>9000+18000+40000</f>
        <v>67000</v>
      </c>
    </row>
    <row r="117" spans="1:84" ht="12.75" customHeight="1" x14ac:dyDescent="0.4">
      <c r="A117" s="124"/>
      <c r="B117" s="124">
        <f t="shared" si="156"/>
        <v>66</v>
      </c>
      <c r="C117" s="110" t="s">
        <v>348</v>
      </c>
      <c r="D117" s="106"/>
      <c r="E117" s="106"/>
      <c r="F117" s="128"/>
      <c r="G117" s="106"/>
      <c r="H117" s="106"/>
      <c r="I117" s="129"/>
      <c r="J117" s="130">
        <v>9652</v>
      </c>
      <c r="K117" s="130"/>
      <c r="L117" s="130">
        <v>9139</v>
      </c>
      <c r="M117" s="130">
        <v>10000</v>
      </c>
      <c r="N117" s="129"/>
      <c r="O117" s="138"/>
      <c r="Q117" s="130">
        <v>13840.11</v>
      </c>
      <c r="R117" s="164">
        <v>13136.77</v>
      </c>
      <c r="S117" s="164">
        <v>10000</v>
      </c>
      <c r="T117" s="130">
        <v>13414</v>
      </c>
      <c r="U117" s="132">
        <f t="shared" si="140"/>
        <v>-3136.7700000000004</v>
      </c>
      <c r="V117" s="132"/>
      <c r="W117" s="132"/>
      <c r="X117" s="132"/>
      <c r="Y117" s="130">
        <v>20000</v>
      </c>
      <c r="Z117" s="130">
        <v>15000</v>
      </c>
      <c r="AA117" s="130">
        <v>24264</v>
      </c>
      <c r="AB117" s="132">
        <f t="shared" si="141"/>
        <v>6586</v>
      </c>
      <c r="AC117" s="132">
        <f t="shared" si="142"/>
        <v>3414</v>
      </c>
      <c r="AD117" s="131">
        <f t="shared" si="143"/>
        <v>0.49097957357984195</v>
      </c>
      <c r="AE117" s="133">
        <f t="shared" si="144"/>
        <v>1586</v>
      </c>
      <c r="AF117" s="131">
        <f t="shared" si="145"/>
        <v>0.11823468018488147</v>
      </c>
      <c r="AG117" s="133">
        <f t="shared" si="146"/>
        <v>10850</v>
      </c>
      <c r="AH117" s="131">
        <f t="shared" si="147"/>
        <v>0.80885641866706426</v>
      </c>
      <c r="AI117" s="130">
        <v>20000</v>
      </c>
      <c r="AJ117" s="130">
        <v>15000</v>
      </c>
      <c r="AK117" s="130">
        <f t="shared" si="148"/>
        <v>-4264</v>
      </c>
      <c r="AL117" s="134">
        <f t="shared" si="149"/>
        <v>-0.17573359709858227</v>
      </c>
      <c r="AM117" s="130">
        <f t="shared" si="150"/>
        <v>-9264</v>
      </c>
      <c r="AN117" s="134">
        <f t="shared" si="151"/>
        <v>-0.3818001978239367</v>
      </c>
      <c r="AO117" s="108">
        <v>24103</v>
      </c>
      <c r="AP117" s="108">
        <f t="shared" si="126"/>
        <v>-161</v>
      </c>
      <c r="AQ117" s="131">
        <f t="shared" si="127"/>
        <v>-6.6353445433564124E-3</v>
      </c>
      <c r="AR117" s="130">
        <v>20000</v>
      </c>
      <c r="AS117" s="132">
        <f t="shared" si="128"/>
        <v>-4264</v>
      </c>
      <c r="AT117" s="131">
        <f t="shared" si="129"/>
        <v>-0.17573359709858227</v>
      </c>
      <c r="AU117" s="108">
        <v>30000</v>
      </c>
      <c r="AV117" s="108">
        <f t="shared" si="130"/>
        <v>61693</v>
      </c>
      <c r="AW117" s="108">
        <f t="shared" si="131"/>
        <v>37590</v>
      </c>
      <c r="AX117" s="131">
        <f t="shared" si="152"/>
        <v>1.5595569016305024</v>
      </c>
      <c r="AY117" s="108">
        <v>61693</v>
      </c>
      <c r="AZ117" s="108">
        <f t="shared" si="132"/>
        <v>37590</v>
      </c>
      <c r="BA117" s="131">
        <f t="shared" si="153"/>
        <v>1.5595569016305024</v>
      </c>
      <c r="BB117" s="112">
        <f t="shared" si="133"/>
        <v>0</v>
      </c>
      <c r="BC117" s="108">
        <v>29000</v>
      </c>
      <c r="BD117" s="108">
        <f t="shared" si="134"/>
        <v>-32693</v>
      </c>
      <c r="BE117" s="134">
        <f t="shared" si="154"/>
        <v>-0.52993046212698358</v>
      </c>
      <c r="BF117" s="108">
        <v>22078</v>
      </c>
      <c r="BG117" s="108">
        <v>29000</v>
      </c>
      <c r="BH117" s="108">
        <v>22336</v>
      </c>
      <c r="BI117" s="108">
        <v>32000</v>
      </c>
      <c r="BJ117" s="108">
        <v>32000</v>
      </c>
      <c r="BK117" s="108">
        <v>32000</v>
      </c>
      <c r="BL117" s="108">
        <v>34040</v>
      </c>
      <c r="BM117" s="108">
        <v>29738.92</v>
      </c>
      <c r="BN117" s="108">
        <v>34040</v>
      </c>
      <c r="BO117" s="108">
        <v>0</v>
      </c>
      <c r="BP117" s="108">
        <f t="shared" si="135"/>
        <v>2040</v>
      </c>
      <c r="BQ117" s="134">
        <f t="shared" si="155"/>
        <v>6.3750000000000001E-2</v>
      </c>
      <c r="BR117" s="111">
        <f t="shared" si="136"/>
        <v>-34040</v>
      </c>
      <c r="BS117" s="108">
        <f>11890.59+5164.86+14080.28</f>
        <v>31135.730000000003</v>
      </c>
      <c r="BT117" s="108">
        <v>36844</v>
      </c>
      <c r="BU117" s="108">
        <f>9852.08+7393.4+15820.46</f>
        <v>33065.94</v>
      </c>
      <c r="BV117" s="108">
        <v>36844</v>
      </c>
      <c r="BW117" s="108">
        <f>12000+9064+18280+4924</f>
        <v>44268</v>
      </c>
      <c r="BX117" s="108">
        <f>11586.04+13065.66+15423.35</f>
        <v>40075.050000000003</v>
      </c>
      <c r="BY117" s="108">
        <f t="shared" si="137"/>
        <v>44268</v>
      </c>
      <c r="BZ117" s="108">
        <f>11652.85+8633.55+430.37+10659.89</f>
        <v>31376.66</v>
      </c>
      <c r="CA117" s="108">
        <f>12000+14000+19194</f>
        <v>45194</v>
      </c>
      <c r="CB117" s="108">
        <v>45739.82</v>
      </c>
      <c r="CC117" s="108">
        <f t="shared" si="139"/>
        <v>45739.82</v>
      </c>
      <c r="CD117" s="108">
        <f>18828.74+2892.32+11715.18</f>
        <v>33436.240000000005</v>
      </c>
      <c r="CE117" s="108">
        <f t="shared" si="138"/>
        <v>45739.82</v>
      </c>
      <c r="CF117" s="108">
        <f>17000+10000+15000</f>
        <v>42000</v>
      </c>
    </row>
    <row r="118" spans="1:84" ht="12.75" customHeight="1" x14ac:dyDescent="0.4">
      <c r="A118" s="124"/>
      <c r="B118" s="124">
        <f t="shared" si="156"/>
        <v>67</v>
      </c>
      <c r="C118" s="110" t="s">
        <v>349</v>
      </c>
      <c r="D118" s="106">
        <v>45831</v>
      </c>
      <c r="E118" s="106">
        <v>49091</v>
      </c>
      <c r="F118" s="128">
        <v>50312</v>
      </c>
      <c r="G118" s="106">
        <v>52986</v>
      </c>
      <c r="H118" s="106">
        <v>54488</v>
      </c>
      <c r="I118" s="129"/>
      <c r="J118" s="130">
        <v>57485</v>
      </c>
      <c r="K118" s="130">
        <v>62025</v>
      </c>
      <c r="L118" s="130">
        <v>60121</v>
      </c>
      <c r="M118" s="132">
        <v>62255</v>
      </c>
      <c r="N118" s="129">
        <f>M118-L118</f>
        <v>2134</v>
      </c>
      <c r="O118" s="138">
        <f>N118/L118</f>
        <v>3.5495084912093945E-2</v>
      </c>
      <c r="Q118" s="132">
        <v>58862.73</v>
      </c>
      <c r="R118" s="164">
        <v>60435.839999999997</v>
      </c>
      <c r="S118" s="164">
        <v>60000</v>
      </c>
      <c r="T118" s="130">
        <v>60366</v>
      </c>
      <c r="U118" s="132">
        <f t="shared" si="140"/>
        <v>-435.83999999999651</v>
      </c>
      <c r="V118" s="132">
        <f>U118/Q118</f>
        <v>-7.4043456700019945E-3</v>
      </c>
      <c r="W118" s="132"/>
      <c r="X118" s="132"/>
      <c r="Y118" s="130">
        <v>63050</v>
      </c>
      <c r="Z118" s="130">
        <v>63050</v>
      </c>
      <c r="AA118" s="130">
        <v>62734</v>
      </c>
      <c r="AB118" s="132">
        <f t="shared" si="141"/>
        <v>2684</v>
      </c>
      <c r="AC118" s="132">
        <f t="shared" si="142"/>
        <v>366</v>
      </c>
      <c r="AD118" s="131">
        <f t="shared" si="143"/>
        <v>4.4462114435278137E-2</v>
      </c>
      <c r="AE118" s="133">
        <f t="shared" si="144"/>
        <v>2684</v>
      </c>
      <c r="AF118" s="131">
        <f t="shared" si="145"/>
        <v>4.4462114435278137E-2</v>
      </c>
      <c r="AG118" s="133">
        <f t="shared" si="146"/>
        <v>2368</v>
      </c>
      <c r="AH118" s="131">
        <f t="shared" si="147"/>
        <v>3.9227379650796805E-2</v>
      </c>
      <c r="AI118" s="130">
        <v>65414</v>
      </c>
      <c r="AJ118" s="130">
        <v>65414</v>
      </c>
      <c r="AK118" s="130">
        <f t="shared" si="148"/>
        <v>2680</v>
      </c>
      <c r="AL118" s="134">
        <f t="shared" si="149"/>
        <v>4.2720056109924444E-2</v>
      </c>
      <c r="AM118" s="130">
        <f t="shared" si="150"/>
        <v>2680</v>
      </c>
      <c r="AN118" s="134">
        <f t="shared" si="151"/>
        <v>4.2720056109924444E-2</v>
      </c>
      <c r="AO118" s="108">
        <v>60170</v>
      </c>
      <c r="AP118" s="108">
        <f t="shared" si="126"/>
        <v>-2564</v>
      </c>
      <c r="AQ118" s="131">
        <f t="shared" si="127"/>
        <v>-4.0870979054420248E-2</v>
      </c>
      <c r="AR118" s="130">
        <v>66883</v>
      </c>
      <c r="AS118" s="132">
        <f t="shared" si="128"/>
        <v>4149</v>
      </c>
      <c r="AT118" s="131">
        <f t="shared" si="129"/>
        <v>6.6136385373162881E-2</v>
      </c>
      <c r="AU118" s="108">
        <v>74883</v>
      </c>
      <c r="AV118" s="108">
        <f t="shared" si="130"/>
        <v>65781</v>
      </c>
      <c r="AW118" s="108">
        <f t="shared" si="131"/>
        <v>5611</v>
      </c>
      <c r="AX118" s="131">
        <f t="shared" si="152"/>
        <v>9.3252451387734747E-2</v>
      </c>
      <c r="AY118" s="108">
        <v>65781</v>
      </c>
      <c r="AZ118" s="108">
        <f t="shared" si="132"/>
        <v>5611</v>
      </c>
      <c r="BA118" s="131">
        <f t="shared" si="153"/>
        <v>9.3252451387734747E-2</v>
      </c>
      <c r="BB118" s="112">
        <f t="shared" si="133"/>
        <v>0</v>
      </c>
      <c r="BC118" s="108">
        <v>74078</v>
      </c>
      <c r="BD118" s="108">
        <f t="shared" si="134"/>
        <v>8297</v>
      </c>
      <c r="BE118" s="134">
        <f t="shared" si="154"/>
        <v>0.12613064562715678</v>
      </c>
      <c r="BF118" s="108">
        <v>66136</v>
      </c>
      <c r="BG118" s="108">
        <v>67524</v>
      </c>
      <c r="BH118" s="108">
        <v>53590</v>
      </c>
      <c r="BI118" s="108">
        <v>68414</v>
      </c>
      <c r="BJ118" s="108">
        <v>68414</v>
      </c>
      <c r="BK118" s="108">
        <v>68414</v>
      </c>
      <c r="BL118" s="108">
        <v>69355</v>
      </c>
      <c r="BM118" s="108">
        <v>43360</v>
      </c>
      <c r="BN118" s="108">
        <v>69355</v>
      </c>
      <c r="BO118" s="108">
        <v>0</v>
      </c>
      <c r="BP118" s="108">
        <f t="shared" si="135"/>
        <v>941</v>
      </c>
      <c r="BQ118" s="134">
        <f t="shared" si="155"/>
        <v>1.3754494694068465E-2</v>
      </c>
      <c r="BR118" s="111">
        <f t="shared" si="136"/>
        <v>-69355</v>
      </c>
      <c r="BS118" s="108">
        <v>46595</v>
      </c>
      <c r="BT118" s="108">
        <v>69325</v>
      </c>
      <c r="BU118" s="108">
        <f>57721.75</f>
        <v>57721.75</v>
      </c>
      <c r="BV118" s="108">
        <v>70900</v>
      </c>
      <c r="BW118" s="108">
        <v>71974</v>
      </c>
      <c r="BX118" s="108">
        <v>51196.42</v>
      </c>
      <c r="BY118" s="108">
        <f t="shared" si="137"/>
        <v>71974</v>
      </c>
      <c r="BZ118" s="108">
        <f>52663.67+14700</f>
        <v>67363.67</v>
      </c>
      <c r="CA118" s="108">
        <v>71348</v>
      </c>
      <c r="CB118" s="108">
        <v>71348</v>
      </c>
      <c r="CC118" s="108">
        <f t="shared" si="139"/>
        <v>71348</v>
      </c>
      <c r="CD118" s="108">
        <v>38130.449999999997</v>
      </c>
      <c r="CE118" s="108">
        <f t="shared" si="138"/>
        <v>71348</v>
      </c>
      <c r="CF118" s="108">
        <v>72898</v>
      </c>
    </row>
    <row r="119" spans="1:84" ht="12.75" customHeight="1" x14ac:dyDescent="0.4">
      <c r="A119" s="124"/>
      <c r="B119" s="124">
        <f t="shared" si="156"/>
        <v>68</v>
      </c>
      <c r="C119" s="110" t="s">
        <v>350</v>
      </c>
      <c r="D119" s="106">
        <v>26978</v>
      </c>
      <c r="E119" s="106">
        <v>28906</v>
      </c>
      <c r="F119" s="128">
        <v>30630</v>
      </c>
      <c r="G119" s="106">
        <v>31985</v>
      </c>
      <c r="H119" s="106">
        <v>33010</v>
      </c>
      <c r="I119" s="129"/>
      <c r="J119" s="130">
        <v>37022</v>
      </c>
      <c r="K119" s="130">
        <v>37048</v>
      </c>
      <c r="L119" s="130">
        <v>39159</v>
      </c>
      <c r="M119" s="132">
        <v>38134</v>
      </c>
      <c r="N119" s="129">
        <f>M119-L119</f>
        <v>-1025</v>
      </c>
      <c r="O119" s="138">
        <f>N119/L119</f>
        <v>-2.6175336448836795E-2</v>
      </c>
      <c r="Q119" s="132">
        <v>39293.800000000003</v>
      </c>
      <c r="R119" s="164">
        <v>39871.9</v>
      </c>
      <c r="S119" s="164">
        <v>39314</v>
      </c>
      <c r="T119" s="130">
        <v>41336</v>
      </c>
      <c r="U119" s="132">
        <f t="shared" si="140"/>
        <v>-557.90000000000146</v>
      </c>
      <c r="V119" s="132">
        <f>U119/Q119</f>
        <v>-1.4198168667830585E-2</v>
      </c>
      <c r="W119" s="132"/>
      <c r="X119" s="132"/>
      <c r="Y119" s="130">
        <v>41330</v>
      </c>
      <c r="Z119" s="130">
        <v>41330</v>
      </c>
      <c r="AA119" s="130">
        <v>42206</v>
      </c>
      <c r="AB119" s="132">
        <f t="shared" si="141"/>
        <v>-6</v>
      </c>
      <c r="AC119" s="132">
        <f t="shared" si="142"/>
        <v>2022</v>
      </c>
      <c r="AD119" s="131">
        <f t="shared" si="143"/>
        <v>-1.4515192568221406E-4</v>
      </c>
      <c r="AE119" s="133">
        <f t="shared" si="144"/>
        <v>-6</v>
      </c>
      <c r="AF119" s="131">
        <f t="shared" si="145"/>
        <v>-1.4515192568221406E-4</v>
      </c>
      <c r="AG119" s="133">
        <f t="shared" si="146"/>
        <v>870</v>
      </c>
      <c r="AH119" s="131">
        <f t="shared" si="147"/>
        <v>2.1047029223921036E-2</v>
      </c>
      <c r="AI119" s="130">
        <v>42381</v>
      </c>
      <c r="AJ119" s="130">
        <v>42381</v>
      </c>
      <c r="AK119" s="130">
        <f t="shared" si="148"/>
        <v>175</v>
      </c>
      <c r="AL119" s="134">
        <f t="shared" si="149"/>
        <v>4.1463299057006115E-3</v>
      </c>
      <c r="AM119" s="130">
        <f t="shared" si="150"/>
        <v>175</v>
      </c>
      <c r="AN119" s="134">
        <f t="shared" si="151"/>
        <v>4.1463299057006115E-3</v>
      </c>
      <c r="AO119" s="108">
        <v>44765</v>
      </c>
      <c r="AP119" s="108">
        <f t="shared" si="126"/>
        <v>2559</v>
      </c>
      <c r="AQ119" s="131">
        <f t="shared" si="127"/>
        <v>6.063118987821637E-2</v>
      </c>
      <c r="AR119" s="130">
        <v>43766</v>
      </c>
      <c r="AS119" s="132">
        <f t="shared" si="128"/>
        <v>1560</v>
      </c>
      <c r="AT119" s="131">
        <f t="shared" si="129"/>
        <v>3.6961569445102593E-2</v>
      </c>
      <c r="AU119" s="108">
        <v>43766</v>
      </c>
      <c r="AV119" s="108">
        <f t="shared" si="130"/>
        <v>45234</v>
      </c>
      <c r="AW119" s="108">
        <f t="shared" si="131"/>
        <v>469</v>
      </c>
      <c r="AX119" s="131">
        <f t="shared" si="152"/>
        <v>1.0476935105551212E-2</v>
      </c>
      <c r="AY119" s="108">
        <v>45234</v>
      </c>
      <c r="AZ119" s="108">
        <f t="shared" si="132"/>
        <v>469</v>
      </c>
      <c r="BA119" s="131">
        <f t="shared" si="153"/>
        <v>1.0476935105551212E-2</v>
      </c>
      <c r="BB119" s="112">
        <f t="shared" si="133"/>
        <v>0</v>
      </c>
      <c r="BC119" s="108">
        <v>46684</v>
      </c>
      <c r="BD119" s="108">
        <f t="shared" si="134"/>
        <v>1450</v>
      </c>
      <c r="BE119" s="134">
        <f t="shared" si="154"/>
        <v>3.205553344829111E-2</v>
      </c>
      <c r="BF119" s="108">
        <v>45011</v>
      </c>
      <c r="BG119" s="108">
        <v>46682</v>
      </c>
      <c r="BH119" s="108">
        <v>45950</v>
      </c>
      <c r="BI119" s="108">
        <v>47584</v>
      </c>
      <c r="BJ119" s="108">
        <v>47584</v>
      </c>
      <c r="BK119" s="108">
        <v>47584</v>
      </c>
      <c r="BL119" s="108">
        <v>48532</v>
      </c>
      <c r="BM119" s="108">
        <v>46968.29</v>
      </c>
      <c r="BN119" s="108">
        <v>48532</v>
      </c>
      <c r="BO119" s="108">
        <v>0</v>
      </c>
      <c r="BP119" s="108">
        <f t="shared" si="135"/>
        <v>948</v>
      </c>
      <c r="BQ119" s="134">
        <f t="shared" si="155"/>
        <v>1.9922663080026898E-2</v>
      </c>
      <c r="BR119" s="111">
        <f t="shared" si="136"/>
        <v>-48532</v>
      </c>
      <c r="BS119" s="108">
        <v>47944.57</v>
      </c>
      <c r="BT119" s="108">
        <v>48502</v>
      </c>
      <c r="BU119" s="108">
        <v>48025.8</v>
      </c>
      <c r="BV119" s="108">
        <v>48730</v>
      </c>
      <c r="BW119" s="108">
        <v>48910</v>
      </c>
      <c r="BX119" s="108">
        <v>52904.81</v>
      </c>
      <c r="BY119" s="108">
        <f t="shared" si="137"/>
        <v>48910</v>
      </c>
      <c r="BZ119" s="108">
        <v>50056.98</v>
      </c>
      <c r="CA119" s="108">
        <v>48492.29</v>
      </c>
      <c r="CB119" s="108">
        <v>50927.44</v>
      </c>
      <c r="CC119" s="108">
        <f t="shared" si="139"/>
        <v>50927.44</v>
      </c>
      <c r="CD119" s="108">
        <v>49015.4</v>
      </c>
      <c r="CE119" s="108">
        <f t="shared" si="138"/>
        <v>50927.44</v>
      </c>
      <c r="CF119" s="108">
        <v>51130.93</v>
      </c>
    </row>
    <row r="120" spans="1:84" ht="12.75" customHeight="1" x14ac:dyDescent="0.4">
      <c r="A120" s="124"/>
      <c r="B120" s="124">
        <f t="shared" si="156"/>
        <v>69</v>
      </c>
      <c r="C120" s="110" t="s">
        <v>351</v>
      </c>
      <c r="D120" s="106">
        <v>7005</v>
      </c>
      <c r="E120" s="106">
        <v>6998</v>
      </c>
      <c r="F120" s="128">
        <v>7000</v>
      </c>
      <c r="G120" s="106">
        <v>7991</v>
      </c>
      <c r="H120" s="106">
        <v>9206</v>
      </c>
      <c r="I120" s="129"/>
      <c r="J120" s="130">
        <v>10699</v>
      </c>
      <c r="K120" s="130">
        <f>J120</f>
        <v>10699</v>
      </c>
      <c r="L120" s="130">
        <v>6999</v>
      </c>
      <c r="M120" s="132">
        <v>7000</v>
      </c>
      <c r="N120" s="129">
        <f>M120-L120</f>
        <v>1</v>
      </c>
      <c r="O120" s="138">
        <f>N120/L120</f>
        <v>1.4287755393627662E-4</v>
      </c>
      <c r="Q120" s="132">
        <v>12838.5</v>
      </c>
      <c r="R120" s="164">
        <v>9792.48</v>
      </c>
      <c r="S120" s="164">
        <v>7000</v>
      </c>
      <c r="T120" s="130">
        <v>10468</v>
      </c>
      <c r="U120" s="132">
        <f t="shared" si="140"/>
        <v>-2792.4799999999996</v>
      </c>
      <c r="V120" s="132">
        <f>U120/Q120</f>
        <v>-0.21750827588892779</v>
      </c>
      <c r="W120" s="132"/>
      <c r="X120" s="132"/>
      <c r="Y120" s="130">
        <v>10000</v>
      </c>
      <c r="Z120" s="130">
        <v>7000</v>
      </c>
      <c r="AA120" s="130">
        <v>7350</v>
      </c>
      <c r="AB120" s="132">
        <f t="shared" si="141"/>
        <v>-468</v>
      </c>
      <c r="AC120" s="132">
        <f t="shared" si="142"/>
        <v>3468</v>
      </c>
      <c r="AD120" s="131">
        <f t="shared" si="143"/>
        <v>-4.4707680550248374E-2</v>
      </c>
      <c r="AE120" s="133">
        <f t="shared" si="144"/>
        <v>-3468</v>
      </c>
      <c r="AF120" s="131">
        <f t="shared" si="145"/>
        <v>-0.33129537638517387</v>
      </c>
      <c r="AG120" s="133">
        <f t="shared" si="146"/>
        <v>-3118</v>
      </c>
      <c r="AH120" s="131">
        <f t="shared" si="147"/>
        <v>-0.29786014520443255</v>
      </c>
      <c r="AI120" s="130">
        <v>14000</v>
      </c>
      <c r="AJ120" s="130">
        <v>12500</v>
      </c>
      <c r="AK120" s="130">
        <f t="shared" si="148"/>
        <v>6650</v>
      </c>
      <c r="AL120" s="134">
        <f t="shared" si="149"/>
        <v>0.90476190476190477</v>
      </c>
      <c r="AM120" s="130">
        <f t="shared" si="150"/>
        <v>5150</v>
      </c>
      <c r="AN120" s="134">
        <f t="shared" si="151"/>
        <v>0.70068027210884354</v>
      </c>
      <c r="AO120" s="108">
        <v>11367</v>
      </c>
      <c r="AP120" s="108">
        <f t="shared" si="126"/>
        <v>4017</v>
      </c>
      <c r="AQ120" s="131">
        <f t="shared" si="127"/>
        <v>0.54653061224489796</v>
      </c>
      <c r="AR120" s="130">
        <v>12500</v>
      </c>
      <c r="AS120" s="132">
        <f t="shared" si="128"/>
        <v>5150</v>
      </c>
      <c r="AT120" s="131">
        <f t="shared" si="129"/>
        <v>0.70068027210884354</v>
      </c>
      <c r="AU120" s="108">
        <v>20000</v>
      </c>
      <c r="AV120" s="108">
        <f t="shared" si="130"/>
        <v>9288</v>
      </c>
      <c r="AW120" s="108">
        <f t="shared" si="131"/>
        <v>-2079</v>
      </c>
      <c r="AX120" s="131">
        <f t="shared" si="152"/>
        <v>-0.1828978622327791</v>
      </c>
      <c r="AY120" s="108">
        <v>9288</v>
      </c>
      <c r="AZ120" s="108">
        <f t="shared" si="132"/>
        <v>-2079</v>
      </c>
      <c r="BA120" s="131">
        <f t="shared" si="153"/>
        <v>-0.1828978622327791</v>
      </c>
      <c r="BB120" s="112">
        <f t="shared" si="133"/>
        <v>0</v>
      </c>
      <c r="BC120" s="108">
        <v>14500</v>
      </c>
      <c r="BD120" s="108">
        <f t="shared" si="134"/>
        <v>5212</v>
      </c>
      <c r="BE120" s="134">
        <f t="shared" si="154"/>
        <v>0.56115417743324725</v>
      </c>
      <c r="BF120" s="108">
        <v>8532</v>
      </c>
      <c r="BG120" s="108">
        <v>16500</v>
      </c>
      <c r="BH120" s="108">
        <v>9205</v>
      </c>
      <c r="BI120" s="108">
        <v>16500</v>
      </c>
      <c r="BJ120" s="108">
        <v>16500</v>
      </c>
      <c r="BK120" s="108">
        <v>16500</v>
      </c>
      <c r="BL120" s="108">
        <v>16590</v>
      </c>
      <c r="BM120" s="108">
        <v>15299.43</v>
      </c>
      <c r="BN120" s="108">
        <v>16590</v>
      </c>
      <c r="BO120" s="108">
        <v>0</v>
      </c>
      <c r="BP120" s="108">
        <f t="shared" si="135"/>
        <v>90</v>
      </c>
      <c r="BQ120" s="134">
        <f t="shared" si="155"/>
        <v>5.454545454545455E-3</v>
      </c>
      <c r="BR120" s="111">
        <f t="shared" si="136"/>
        <v>-16590</v>
      </c>
      <c r="BS120" s="108">
        <v>14487.4</v>
      </c>
      <c r="BT120" s="108">
        <v>16683</v>
      </c>
      <c r="BU120" s="108">
        <v>14620.56</v>
      </c>
      <c r="BV120" s="108">
        <v>17000</v>
      </c>
      <c r="BW120" s="108">
        <v>30500</v>
      </c>
      <c r="BX120" s="108">
        <v>27451.73</v>
      </c>
      <c r="BY120" s="108">
        <f t="shared" si="137"/>
        <v>30500</v>
      </c>
      <c r="BZ120" s="108">
        <v>28458.6</v>
      </c>
      <c r="CA120" s="108">
        <v>24641</v>
      </c>
      <c r="CB120" s="108">
        <v>24745.040000000001</v>
      </c>
      <c r="CC120" s="108">
        <f t="shared" si="139"/>
        <v>24745.040000000001</v>
      </c>
      <c r="CD120" s="108">
        <f>10329.31+6800</f>
        <v>17129.309999999998</v>
      </c>
      <c r="CE120" s="108">
        <f t="shared" si="138"/>
        <v>24745.040000000001</v>
      </c>
      <c r="CF120" s="108">
        <v>24745.040000000001</v>
      </c>
    </row>
    <row r="121" spans="1:84" ht="12.75" customHeight="1" x14ac:dyDescent="0.4">
      <c r="A121" s="124">
        <v>423</v>
      </c>
      <c r="B121" s="124">
        <f t="shared" si="156"/>
        <v>70</v>
      </c>
      <c r="C121" s="110" t="s">
        <v>352</v>
      </c>
      <c r="D121" s="106">
        <v>177407</v>
      </c>
      <c r="E121" s="106">
        <v>133225</v>
      </c>
      <c r="F121" s="128">
        <v>157952</v>
      </c>
      <c r="G121" s="106">
        <v>132515</v>
      </c>
      <c r="H121" s="106">
        <v>187432</v>
      </c>
      <c r="I121" s="129"/>
      <c r="J121" s="130">
        <v>134944</v>
      </c>
      <c r="K121" s="130">
        <f>J121</f>
        <v>134944</v>
      </c>
      <c r="L121" s="130">
        <v>214648</v>
      </c>
      <c r="M121" s="132">
        <v>135000</v>
      </c>
      <c r="N121" s="129">
        <f>M121-L121</f>
        <v>-79648</v>
      </c>
      <c r="O121" s="138">
        <f>N121/L121</f>
        <v>-0.37106332227647126</v>
      </c>
      <c r="Q121" s="132">
        <v>194764.3</v>
      </c>
      <c r="R121" s="164">
        <v>289387.28999999998</v>
      </c>
      <c r="S121" s="164">
        <v>135000</v>
      </c>
      <c r="T121" s="130">
        <v>233838</v>
      </c>
      <c r="U121" s="132">
        <f t="shared" si="140"/>
        <v>-154387.28999999998</v>
      </c>
      <c r="V121" s="132">
        <f>U121/Q121</f>
        <v>-0.79268782831350504</v>
      </c>
      <c r="W121" s="132"/>
      <c r="X121" s="132"/>
      <c r="Y121" s="130">
        <f>T121</f>
        <v>233838</v>
      </c>
      <c r="Z121" s="130">
        <v>135000</v>
      </c>
      <c r="AA121" s="130">
        <v>167765</v>
      </c>
      <c r="AB121" s="132">
        <f t="shared" si="141"/>
        <v>0</v>
      </c>
      <c r="AC121" s="132">
        <f t="shared" si="142"/>
        <v>98838</v>
      </c>
      <c r="AD121" s="131">
        <f t="shared" si="143"/>
        <v>0</v>
      </c>
      <c r="AE121" s="133">
        <f t="shared" si="144"/>
        <v>-98838</v>
      </c>
      <c r="AF121" s="131">
        <f t="shared" si="145"/>
        <v>-0.42267723808790703</v>
      </c>
      <c r="AG121" s="133">
        <f t="shared" si="146"/>
        <v>-66073</v>
      </c>
      <c r="AH121" s="131">
        <f t="shared" si="147"/>
        <v>-0.28255886553939052</v>
      </c>
      <c r="AI121" s="130">
        <v>235000</v>
      </c>
      <c r="AJ121" s="130">
        <v>135000</v>
      </c>
      <c r="AK121" s="130">
        <f t="shared" si="148"/>
        <v>67235</v>
      </c>
      <c r="AL121" s="134">
        <f t="shared" si="149"/>
        <v>0.40076893273328762</v>
      </c>
      <c r="AM121" s="130">
        <f t="shared" si="150"/>
        <v>-32765</v>
      </c>
      <c r="AN121" s="134">
        <f t="shared" si="151"/>
        <v>-0.19530295353619648</v>
      </c>
      <c r="AO121" s="108">
        <v>343633</v>
      </c>
      <c r="AP121" s="108">
        <f t="shared" si="126"/>
        <v>175868</v>
      </c>
      <c r="AQ121" s="131">
        <f t="shared" si="127"/>
        <v>1.0482997049444163</v>
      </c>
      <c r="AR121" s="130">
        <v>135000</v>
      </c>
      <c r="AS121" s="132">
        <f t="shared" si="128"/>
        <v>-32765</v>
      </c>
      <c r="AT121" s="131">
        <f t="shared" si="129"/>
        <v>-0.19530295353619648</v>
      </c>
      <c r="AU121" s="108">
        <v>135000</v>
      </c>
      <c r="AV121" s="108">
        <f t="shared" si="130"/>
        <v>298580</v>
      </c>
      <c r="AW121" s="108">
        <f t="shared" si="131"/>
        <v>-45053</v>
      </c>
      <c r="AX121" s="131">
        <f t="shared" si="152"/>
        <v>-0.13110789708788154</v>
      </c>
      <c r="AY121" s="108">
        <v>298580</v>
      </c>
      <c r="AZ121" s="108">
        <f t="shared" si="132"/>
        <v>-45053</v>
      </c>
      <c r="BA121" s="131">
        <f t="shared" si="153"/>
        <v>-0.13110789708788154</v>
      </c>
      <c r="BB121" s="112">
        <f t="shared" si="133"/>
        <v>0</v>
      </c>
      <c r="BC121" s="108">
        <v>200000</v>
      </c>
      <c r="BD121" s="108">
        <f t="shared" si="134"/>
        <v>-98580</v>
      </c>
      <c r="BE121" s="134">
        <f t="shared" si="154"/>
        <v>-0.33016277044678144</v>
      </c>
      <c r="BF121" s="108">
        <v>316382</v>
      </c>
      <c r="BG121" s="108">
        <v>292500</v>
      </c>
      <c r="BH121" s="108">
        <v>321656</v>
      </c>
      <c r="BI121" s="108">
        <v>259575</v>
      </c>
      <c r="BJ121" s="108">
        <v>250000</v>
      </c>
      <c r="BK121" s="108">
        <v>250000</v>
      </c>
      <c r="BL121" s="108">
        <v>250525</v>
      </c>
      <c r="BM121" s="108">
        <v>307433.37</v>
      </c>
      <c r="BN121" s="108">
        <v>250525</v>
      </c>
      <c r="BO121" s="108">
        <v>0</v>
      </c>
      <c r="BP121" s="108">
        <f t="shared" si="135"/>
        <v>525</v>
      </c>
      <c r="BQ121" s="134">
        <f t="shared" si="155"/>
        <v>2.0999999999999999E-3</v>
      </c>
      <c r="BR121" s="111">
        <f t="shared" si="136"/>
        <v>-250525</v>
      </c>
      <c r="BS121" s="108">
        <v>350414.58</v>
      </c>
      <c r="BT121" s="108">
        <v>250500</v>
      </c>
      <c r="BU121" s="108">
        <v>479060.27</v>
      </c>
      <c r="BV121" s="108">
        <v>260000</v>
      </c>
      <c r="BW121" s="108">
        <f>260000+15000</f>
        <v>275000</v>
      </c>
      <c r="BX121" s="108">
        <v>481236</v>
      </c>
      <c r="BY121" s="108">
        <f t="shared" si="137"/>
        <v>275000</v>
      </c>
      <c r="BZ121" s="108">
        <v>275776.53000000003</v>
      </c>
      <c r="CA121" s="108">
        <v>275000</v>
      </c>
      <c r="CB121" s="108">
        <v>275720</v>
      </c>
      <c r="CC121" s="108">
        <f t="shared" si="139"/>
        <v>275720</v>
      </c>
      <c r="CD121" s="108">
        <v>451124.05</v>
      </c>
      <c r="CE121" s="108">
        <f t="shared" si="138"/>
        <v>275720</v>
      </c>
      <c r="CF121" s="108">
        <v>275720</v>
      </c>
    </row>
    <row r="122" spans="1:84" x14ac:dyDescent="0.4">
      <c r="A122" s="124"/>
      <c r="B122" s="124"/>
      <c r="C122" s="110"/>
      <c r="D122" s="106"/>
      <c r="E122" s="106"/>
      <c r="F122" s="128"/>
      <c r="G122" s="112"/>
      <c r="H122" s="112"/>
      <c r="I122" s="140"/>
      <c r="J122" s="140"/>
      <c r="K122" s="140"/>
      <c r="L122" s="140"/>
      <c r="M122" s="140"/>
      <c r="N122" s="129"/>
      <c r="O122" s="175"/>
      <c r="R122" s="164"/>
      <c r="S122" s="164"/>
      <c r="T122" s="132"/>
      <c r="U122" s="132"/>
      <c r="V122" s="132"/>
      <c r="W122" s="132"/>
      <c r="X122" s="132"/>
      <c r="Y122" s="130"/>
      <c r="Z122" s="130"/>
      <c r="AA122" s="130"/>
      <c r="AB122" s="132"/>
      <c r="AC122" s="132"/>
      <c r="AU122" s="108"/>
      <c r="AV122" s="108"/>
      <c r="AW122" s="108"/>
      <c r="AX122" s="108"/>
      <c r="AY122" s="108"/>
      <c r="BC122" s="108"/>
      <c r="BF122" s="108"/>
    </row>
    <row r="123" spans="1:84" s="113" customFormat="1" x14ac:dyDescent="0.4">
      <c r="A123" s="124" t="s">
        <v>134</v>
      </c>
      <c r="B123" s="124"/>
      <c r="C123" s="176" t="s">
        <v>353</v>
      </c>
      <c r="D123" s="132">
        <f>SUM(D108:D121)</f>
        <v>750690</v>
      </c>
      <c r="E123" s="132">
        <f>SUM(E108:E121)</f>
        <v>705301</v>
      </c>
      <c r="F123" s="132">
        <f>SUM(F108:F121)</f>
        <v>701959</v>
      </c>
      <c r="G123" s="132">
        <f>SUM(G108:G121)</f>
        <v>682772</v>
      </c>
      <c r="H123" s="132">
        <f>SUM(H108:H121)</f>
        <v>725368</v>
      </c>
      <c r="I123" s="132" t="e">
        <f>#REF!-G123</f>
        <v>#REF!</v>
      </c>
      <c r="J123" s="132">
        <f>SUM(J109:J121)</f>
        <v>743090</v>
      </c>
      <c r="K123" s="132">
        <f>SUM(K109:K121)</f>
        <v>754370</v>
      </c>
      <c r="L123" s="132">
        <f>SUM(L109:L121)</f>
        <v>792116</v>
      </c>
      <c r="M123" s="132">
        <f>SUM(M109:M121)</f>
        <v>745705</v>
      </c>
      <c r="N123" s="130">
        <f>M123-L123</f>
        <v>-46411</v>
      </c>
      <c r="O123" s="131">
        <f>N123/L123</f>
        <v>-5.8591165940342069E-2</v>
      </c>
      <c r="Q123" s="132">
        <f t="shared" ref="Q123:AJ123" si="157">SUM(Q109:Q121)</f>
        <v>831284.72</v>
      </c>
      <c r="R123" s="164">
        <f t="shared" si="157"/>
        <v>951192.81999999983</v>
      </c>
      <c r="S123" s="164">
        <f t="shared" si="157"/>
        <v>754633</v>
      </c>
      <c r="T123" s="130">
        <f t="shared" si="157"/>
        <v>877663</v>
      </c>
      <c r="U123" s="178">
        <f t="shared" si="157"/>
        <v>-196559.82</v>
      </c>
      <c r="V123" s="178">
        <f t="shared" si="157"/>
        <v>-2.248592809957211</v>
      </c>
      <c r="W123" s="178">
        <f t="shared" si="157"/>
        <v>0</v>
      </c>
      <c r="X123" s="178">
        <f t="shared" si="157"/>
        <v>0</v>
      </c>
      <c r="Y123" s="130">
        <f t="shared" si="157"/>
        <v>1004534</v>
      </c>
      <c r="Z123" s="130">
        <f t="shared" si="157"/>
        <v>854261</v>
      </c>
      <c r="AA123" s="130">
        <f t="shared" si="157"/>
        <v>863439</v>
      </c>
      <c r="AB123" s="130">
        <f t="shared" si="157"/>
        <v>126871</v>
      </c>
      <c r="AC123" s="130">
        <f t="shared" si="157"/>
        <v>123030</v>
      </c>
      <c r="AD123" s="130">
        <f t="shared" si="157"/>
        <v>1.6803930258725546</v>
      </c>
      <c r="AE123" s="130">
        <f t="shared" si="157"/>
        <v>-23402</v>
      </c>
      <c r="AF123" s="130">
        <f t="shared" si="157"/>
        <v>-0.4694281252568881</v>
      </c>
      <c r="AG123" s="130">
        <f t="shared" si="157"/>
        <v>-69224</v>
      </c>
      <c r="AH123" s="130">
        <f t="shared" si="157"/>
        <v>1.403695300631959</v>
      </c>
      <c r="AI123" s="130">
        <f t="shared" si="157"/>
        <v>1502317</v>
      </c>
      <c r="AJ123" s="130">
        <f t="shared" si="157"/>
        <v>904808</v>
      </c>
      <c r="AK123" s="130">
        <f>AI123-AA123</f>
        <v>638878</v>
      </c>
      <c r="AL123" s="134">
        <f>AK123/AA123</f>
        <v>0.73992256546206503</v>
      </c>
      <c r="AM123" s="130">
        <f>AJ123-AA123</f>
        <v>41369</v>
      </c>
      <c r="AN123" s="134">
        <f>AM123/AA123</f>
        <v>4.7911896497610136E-2</v>
      </c>
      <c r="AO123" s="130">
        <f>SUM(AO109:AO121)</f>
        <v>1107291</v>
      </c>
      <c r="AP123" s="108">
        <f>AO123-AA123</f>
        <v>243852</v>
      </c>
      <c r="AQ123" s="131">
        <f>AP123/AA123</f>
        <v>0.28241948765344166</v>
      </c>
      <c r="AR123" s="130">
        <f>SUM(AR109:AR121)</f>
        <v>1097424</v>
      </c>
      <c r="AS123" s="132">
        <f>AR123-AA123</f>
        <v>233985</v>
      </c>
      <c r="AT123" s="131">
        <f>AS123/AA123</f>
        <v>0.27099192878709438</v>
      </c>
      <c r="AU123" s="130">
        <f>SUM(AU109:AU121)</f>
        <v>1051643</v>
      </c>
      <c r="AV123" s="108">
        <f>AY123</f>
        <v>1065819</v>
      </c>
      <c r="AW123" s="108">
        <f>AV123-AO123</f>
        <v>-41472</v>
      </c>
      <c r="AX123" s="131">
        <f>AW123/AO123</f>
        <v>-3.7453569115977643E-2</v>
      </c>
      <c r="AY123" s="130">
        <f>SUM(AY109:AY121)</f>
        <v>1065819</v>
      </c>
      <c r="AZ123" s="108">
        <f>AY123-AO123</f>
        <v>-41472</v>
      </c>
      <c r="BA123" s="131">
        <f>AZ123/AO123</f>
        <v>-3.7453569115977643E-2</v>
      </c>
      <c r="BB123" s="112">
        <f>+AV123-AY123</f>
        <v>0</v>
      </c>
      <c r="BC123" s="108">
        <f>SUM(BC109:BC121)</f>
        <v>975924</v>
      </c>
      <c r="BD123" s="108">
        <f>BC123-AY123</f>
        <v>-89895</v>
      </c>
      <c r="BE123" s="134">
        <f>BD123/AY123</f>
        <v>-8.4343589296118765E-2</v>
      </c>
      <c r="BF123" s="108">
        <f t="shared" ref="BF123:BO123" si="158">SUM(BF109:BF121)</f>
        <v>1042608</v>
      </c>
      <c r="BG123" s="108">
        <f t="shared" si="158"/>
        <v>1099103</v>
      </c>
      <c r="BH123" s="108">
        <f t="shared" si="158"/>
        <v>1053204</v>
      </c>
      <c r="BI123" s="108">
        <f t="shared" si="158"/>
        <v>1991592</v>
      </c>
      <c r="BJ123" s="108">
        <f t="shared" si="158"/>
        <v>1106685</v>
      </c>
      <c r="BK123" s="108">
        <f t="shared" si="158"/>
        <v>1106685</v>
      </c>
      <c r="BL123" s="108">
        <f t="shared" si="158"/>
        <v>1097783</v>
      </c>
      <c r="BM123" s="108">
        <f t="shared" si="158"/>
        <v>1099986.3900000001</v>
      </c>
      <c r="BN123" s="108">
        <f t="shared" si="158"/>
        <v>1101783</v>
      </c>
      <c r="BO123" s="108">
        <f t="shared" si="158"/>
        <v>584698</v>
      </c>
      <c r="BP123" s="108">
        <f>BN123-BK123</f>
        <v>-4902</v>
      </c>
      <c r="BQ123" s="134">
        <f>BP123/BK123</f>
        <v>-4.4294446929343039E-3</v>
      </c>
      <c r="BS123" s="108">
        <f t="shared" ref="BS123:CF123" si="159">SUM(BS109:BS121)</f>
        <v>1189182.98</v>
      </c>
      <c r="BT123" s="108">
        <f t="shared" si="159"/>
        <v>1195067</v>
      </c>
      <c r="BU123" s="108">
        <f t="shared" si="159"/>
        <v>1441089.59</v>
      </c>
      <c r="BV123" s="108">
        <f t="shared" si="159"/>
        <v>1354912</v>
      </c>
      <c r="BW123" s="108">
        <f t="shared" si="159"/>
        <v>1467738</v>
      </c>
      <c r="BX123" s="108">
        <f t="shared" si="159"/>
        <v>1588320.4000000001</v>
      </c>
      <c r="BY123" s="108">
        <f t="shared" si="159"/>
        <v>1467738</v>
      </c>
      <c r="BZ123" s="108">
        <f t="shared" si="159"/>
        <v>1452092.8800000001</v>
      </c>
      <c r="CA123" s="108">
        <f t="shared" si="159"/>
        <v>1688444.26</v>
      </c>
      <c r="CB123" s="108">
        <f t="shared" si="159"/>
        <v>1539171.3800000001</v>
      </c>
      <c r="CC123" s="108">
        <f t="shared" si="159"/>
        <v>1589171.3800000001</v>
      </c>
      <c r="CD123" s="108">
        <f t="shared" si="159"/>
        <v>1798557.97</v>
      </c>
      <c r="CE123" s="108">
        <f t="shared" si="159"/>
        <v>1589171.3800000001</v>
      </c>
      <c r="CF123" s="108">
        <f t="shared" si="159"/>
        <v>1668378.3699999999</v>
      </c>
    </row>
    <row r="124" spans="1:84" s="113" customFormat="1" x14ac:dyDescent="0.4">
      <c r="A124" s="124"/>
      <c r="B124" s="124"/>
      <c r="C124" s="176"/>
      <c r="D124" s="132"/>
      <c r="E124" s="132"/>
      <c r="F124" s="132"/>
      <c r="G124" s="132"/>
      <c r="H124" s="132"/>
      <c r="I124" s="132"/>
      <c r="J124" s="132"/>
      <c r="K124" s="132"/>
      <c r="L124" s="132"/>
      <c r="M124" s="132"/>
      <c r="N124" s="130"/>
      <c r="O124" s="131"/>
      <c r="Q124" s="132"/>
      <c r="R124" s="164"/>
      <c r="S124" s="164"/>
      <c r="T124" s="130"/>
      <c r="U124" s="178"/>
      <c r="V124" s="178"/>
      <c r="W124" s="178"/>
      <c r="X124" s="178"/>
      <c r="Y124" s="130"/>
      <c r="Z124" s="130"/>
      <c r="AA124" s="130"/>
      <c r="AB124" s="130"/>
      <c r="AC124" s="130"/>
      <c r="AD124" s="130"/>
      <c r="AE124" s="130"/>
      <c r="AF124" s="130"/>
      <c r="AG124" s="130"/>
      <c r="AH124" s="130"/>
      <c r="AI124" s="130"/>
      <c r="AJ124" s="130"/>
      <c r="AK124" s="130"/>
      <c r="AL124" s="134"/>
      <c r="AM124" s="130"/>
      <c r="AN124" s="134"/>
      <c r="AO124" s="130"/>
      <c r="AP124" s="108"/>
      <c r="AQ124" s="131"/>
      <c r="AR124" s="130"/>
      <c r="AS124" s="132"/>
      <c r="AT124" s="131"/>
      <c r="AU124" s="130"/>
      <c r="AV124" s="108"/>
      <c r="AW124" s="108"/>
      <c r="AX124" s="131"/>
      <c r="AY124" s="130"/>
      <c r="AZ124" s="108"/>
      <c r="BA124" s="131"/>
      <c r="BB124" s="112"/>
      <c r="BC124" s="108"/>
      <c r="BD124" s="108"/>
      <c r="BE124" s="134"/>
      <c r="BF124" s="108"/>
      <c r="BG124" s="108"/>
      <c r="BH124" s="108"/>
      <c r="BI124" s="108"/>
      <c r="BJ124" s="108"/>
      <c r="BK124" s="108"/>
      <c r="BL124" s="108"/>
      <c r="BM124" s="108"/>
      <c r="BN124" s="108"/>
      <c r="BO124" s="108"/>
      <c r="BP124" s="108"/>
      <c r="BQ124" s="134"/>
      <c r="BS124" s="108"/>
      <c r="BT124" s="108"/>
      <c r="BU124" s="108"/>
      <c r="BV124" s="108"/>
      <c r="BW124" s="108"/>
      <c r="BX124" s="108"/>
    </row>
    <row r="125" spans="1:84" s="113" customFormat="1" x14ac:dyDescent="0.4">
      <c r="A125" s="124"/>
      <c r="B125" s="124"/>
      <c r="C125" s="180" t="s">
        <v>354</v>
      </c>
      <c r="D125" s="132"/>
      <c r="E125" s="132"/>
      <c r="F125" s="132"/>
      <c r="G125" s="132"/>
      <c r="H125" s="132"/>
      <c r="I125" s="132"/>
      <c r="J125" s="132"/>
      <c r="K125" s="132"/>
      <c r="L125" s="132"/>
      <c r="M125" s="132"/>
      <c r="N125" s="130"/>
      <c r="O125" s="131"/>
      <c r="Q125" s="132"/>
      <c r="R125" s="164"/>
      <c r="S125" s="164"/>
      <c r="T125" s="130"/>
      <c r="U125" s="178"/>
      <c r="V125" s="178"/>
      <c r="W125" s="178"/>
      <c r="X125" s="178"/>
      <c r="Y125" s="130"/>
      <c r="Z125" s="130"/>
      <c r="AA125" s="130"/>
      <c r="AB125" s="130"/>
      <c r="AC125" s="130"/>
      <c r="AD125" s="130"/>
      <c r="AE125" s="130"/>
      <c r="AF125" s="130"/>
      <c r="AG125" s="130"/>
      <c r="AH125" s="130"/>
      <c r="AI125" s="130"/>
      <c r="AJ125" s="130"/>
      <c r="AK125" s="130"/>
      <c r="AL125" s="134"/>
      <c r="AM125" s="130"/>
      <c r="AN125" s="134"/>
      <c r="AO125" s="130"/>
      <c r="AP125" s="108"/>
      <c r="AQ125" s="131"/>
      <c r="AR125" s="130"/>
      <c r="AS125" s="132"/>
      <c r="AT125" s="131"/>
      <c r="AU125" s="130"/>
      <c r="AV125" s="108"/>
      <c r="AW125" s="108"/>
      <c r="AX125" s="131"/>
      <c r="AY125" s="130"/>
      <c r="AZ125" s="108"/>
      <c r="BA125" s="131"/>
      <c r="BB125" s="112"/>
      <c r="BC125" s="108"/>
      <c r="BD125" s="108"/>
      <c r="BE125" s="134"/>
      <c r="BF125" s="108"/>
      <c r="BG125" s="108"/>
      <c r="BH125" s="108"/>
      <c r="BI125" s="108"/>
      <c r="BJ125" s="108"/>
      <c r="BK125" s="108"/>
      <c r="BL125" s="108"/>
      <c r="BM125" s="108"/>
      <c r="BN125" s="108"/>
      <c r="BO125" s="108"/>
      <c r="BP125" s="108"/>
      <c r="BQ125" s="134"/>
      <c r="BS125" s="108"/>
      <c r="BT125" s="108"/>
      <c r="BU125" s="108"/>
      <c r="BV125" s="108"/>
      <c r="BW125" s="108"/>
      <c r="BX125" s="108"/>
    </row>
    <row r="126" spans="1:84" ht="12.75" customHeight="1" x14ac:dyDescent="0.4">
      <c r="A126" s="124"/>
      <c r="B126" s="124">
        <f>B121+1</f>
        <v>71</v>
      </c>
      <c r="C126" s="110" t="s">
        <v>355</v>
      </c>
      <c r="D126" s="183"/>
      <c r="E126" s="183"/>
      <c r="F126" s="183">
        <v>46000</v>
      </c>
      <c r="G126" s="183">
        <v>48000</v>
      </c>
      <c r="H126" s="183">
        <v>95740</v>
      </c>
      <c r="I126" s="184"/>
      <c r="J126" s="182">
        <v>119202</v>
      </c>
      <c r="K126" s="182">
        <v>102528</v>
      </c>
      <c r="L126" s="182">
        <v>97060</v>
      </c>
      <c r="M126" s="182">
        <v>58622</v>
      </c>
      <c r="N126" s="184">
        <f>M126-L126</f>
        <v>-38438</v>
      </c>
      <c r="O126" s="185">
        <f>N126/L126</f>
        <v>-0.39602307850813928</v>
      </c>
      <c r="P126" s="186" t="s">
        <v>356</v>
      </c>
      <c r="Q126" s="187">
        <v>58612.57</v>
      </c>
      <c r="R126" s="188">
        <v>75022.06</v>
      </c>
      <c r="S126" s="188">
        <v>58622</v>
      </c>
      <c r="T126" s="157">
        <v>114950</v>
      </c>
      <c r="U126" s="187">
        <f>S126-R126</f>
        <v>-16400.059999999998</v>
      </c>
      <c r="V126" s="187">
        <f>U126/Q126</f>
        <v>-0.27980448562484117</v>
      </c>
      <c r="W126" s="187"/>
      <c r="X126" s="187"/>
      <c r="Y126" s="182">
        <v>119244</v>
      </c>
      <c r="Z126" s="182">
        <v>119244</v>
      </c>
      <c r="AA126" s="157">
        <v>137983</v>
      </c>
      <c r="AB126" s="187">
        <f>Y126-T126</f>
        <v>4294</v>
      </c>
      <c r="AC126" s="187">
        <f>T126-S126</f>
        <v>56328</v>
      </c>
      <c r="AD126" s="189">
        <f>AB126/T126</f>
        <v>3.7355371900826446E-2</v>
      </c>
      <c r="AE126" s="190">
        <f>Z126-T126</f>
        <v>4294</v>
      </c>
      <c r="AF126" s="189">
        <f>AE126/T126</f>
        <v>3.7355371900826446E-2</v>
      </c>
      <c r="AG126" s="190">
        <f>AA126-T126</f>
        <v>23033</v>
      </c>
      <c r="AH126" s="189">
        <f>AG126/T126</f>
        <v>0.20037407568508048</v>
      </c>
      <c r="AI126" s="182">
        <v>168170</v>
      </c>
      <c r="AJ126" s="157">
        <v>186523</v>
      </c>
      <c r="AK126" s="182">
        <f>AI126-AA126</f>
        <v>30187</v>
      </c>
      <c r="AL126" s="191">
        <f>AK126/AA126</f>
        <v>0.21877332714899661</v>
      </c>
      <c r="AM126" s="157">
        <f>AJ126-AA126</f>
        <v>48540</v>
      </c>
      <c r="AN126" s="163">
        <f>AM126/AA126</f>
        <v>0.35178246595595108</v>
      </c>
      <c r="AO126" s="108">
        <v>186378</v>
      </c>
      <c r="AP126" s="108">
        <f>AO126-AA126</f>
        <v>48395</v>
      </c>
      <c r="AQ126" s="131">
        <f>AP126/AA126</f>
        <v>0.35073161186522978</v>
      </c>
      <c r="AR126" s="130">
        <v>186523</v>
      </c>
      <c r="AS126" s="132">
        <f>AR126-AA126</f>
        <v>48540</v>
      </c>
      <c r="AT126" s="131">
        <f>AS126/AA126</f>
        <v>0.35178246595595108</v>
      </c>
      <c r="AU126" s="108">
        <v>238824</v>
      </c>
      <c r="AV126" s="108">
        <f>AY126</f>
        <v>206730</v>
      </c>
      <c r="AW126" s="108">
        <f>AV126-AO126</f>
        <v>20352</v>
      </c>
      <c r="AX126" s="131">
        <f>AW126/AO126</f>
        <v>0.10919743746579531</v>
      </c>
      <c r="AY126" s="108">
        <v>206730</v>
      </c>
      <c r="AZ126" s="108">
        <f>AY126-AO126</f>
        <v>20352</v>
      </c>
      <c r="BA126" s="131">
        <f>AZ126/AO126</f>
        <v>0.10919743746579531</v>
      </c>
      <c r="BB126" s="112">
        <f>+AV126-AY126</f>
        <v>0</v>
      </c>
      <c r="BC126" s="108">
        <v>204943</v>
      </c>
      <c r="BD126" s="108">
        <f>BC126-AY126</f>
        <v>-1787</v>
      </c>
      <c r="BE126" s="134">
        <f>BD126/AY126</f>
        <v>-8.6441251874425588E-3</v>
      </c>
      <c r="BF126" s="108">
        <v>201522</v>
      </c>
      <c r="BG126" s="108">
        <v>220770</v>
      </c>
      <c r="BH126" s="108">
        <v>205148</v>
      </c>
      <c r="BI126" s="108">
        <v>274432</v>
      </c>
      <c r="BJ126" s="108">
        <v>246015</v>
      </c>
      <c r="BK126" s="108">
        <v>246015</v>
      </c>
      <c r="BL126" s="108">
        <v>248383</v>
      </c>
      <c r="BM126" s="108">
        <v>221318.54</v>
      </c>
      <c r="BN126" s="108">
        <v>248383</v>
      </c>
      <c r="BO126" s="108">
        <v>0</v>
      </c>
      <c r="BP126" s="108">
        <f>BN126-BK126</f>
        <v>2368</v>
      </c>
      <c r="BQ126" s="134">
        <f>BP126/BK126</f>
        <v>9.6254293437392034E-3</v>
      </c>
      <c r="BR126" s="111">
        <f>BO126-BN126</f>
        <v>-248383</v>
      </c>
      <c r="BS126" s="108">
        <f>244183.02+5800</f>
        <v>249983.02</v>
      </c>
      <c r="BT126" s="108">
        <f>251528+89516</f>
        <v>341044</v>
      </c>
      <c r="BU126" s="108">
        <v>332273.94</v>
      </c>
      <c r="BV126" s="108">
        <v>349134</v>
      </c>
      <c r="BW126" s="108">
        <v>359919</v>
      </c>
      <c r="BX126" s="108">
        <v>343839.2</v>
      </c>
      <c r="BY126" s="108">
        <f>BW126</f>
        <v>359919</v>
      </c>
      <c r="BZ126" s="108">
        <v>361648.05</v>
      </c>
      <c r="CA126" s="108">
        <v>369068.08</v>
      </c>
      <c r="CB126" s="108">
        <v>371941.09</v>
      </c>
      <c r="CC126" s="108">
        <f>CB126</f>
        <v>371941.09</v>
      </c>
      <c r="CD126" s="108">
        <f>349782.51+45620.26</f>
        <v>395402.77</v>
      </c>
      <c r="CE126" s="136">
        <f>CC126+122722+15000</f>
        <v>509663.09</v>
      </c>
      <c r="CF126" s="136">
        <v>427298.59</v>
      </c>
    </row>
    <row r="127" spans="1:84" ht="12.75" customHeight="1" x14ac:dyDescent="0.4">
      <c r="A127" s="124">
        <v>192</v>
      </c>
      <c r="B127" s="124">
        <f>B126+1</f>
        <v>72</v>
      </c>
      <c r="C127" s="127" t="s">
        <v>357</v>
      </c>
      <c r="D127" s="144">
        <v>20082</v>
      </c>
      <c r="E127" s="144">
        <v>26896</v>
      </c>
      <c r="F127" s="145">
        <v>29311</v>
      </c>
      <c r="G127" s="144">
        <v>34026</v>
      </c>
      <c r="H127" s="144">
        <v>10938</v>
      </c>
      <c r="I127" s="146"/>
      <c r="J127" s="147">
        <v>10888</v>
      </c>
      <c r="K127" s="147">
        <f>J127</f>
        <v>10888</v>
      </c>
      <c r="L127" s="147">
        <v>282</v>
      </c>
      <c r="M127" s="147">
        <v>300</v>
      </c>
      <c r="N127" s="146">
        <f>M127-L127</f>
        <v>18</v>
      </c>
      <c r="O127" s="148">
        <f>N127/L127</f>
        <v>6.3829787234042548E-2</v>
      </c>
      <c r="P127" s="126"/>
      <c r="Q127" s="147">
        <v>0</v>
      </c>
      <c r="R127" s="147">
        <v>135300</v>
      </c>
      <c r="S127" s="147">
        <v>54300</v>
      </c>
      <c r="T127" s="147">
        <v>75438</v>
      </c>
      <c r="U127" s="150">
        <f>S127-R127</f>
        <v>-81000</v>
      </c>
      <c r="V127" s="150" t="e">
        <f>U127/Q127</f>
        <v>#DIV/0!</v>
      </c>
      <c r="W127" s="150"/>
      <c r="X127" s="150"/>
      <c r="Y127" s="150">
        <v>76300</v>
      </c>
      <c r="Z127" s="150">
        <v>76300</v>
      </c>
      <c r="AA127" s="150">
        <v>118849</v>
      </c>
      <c r="AB127" s="150">
        <f>Y127-T127</f>
        <v>862</v>
      </c>
      <c r="AC127" s="150">
        <f>T127-S127</f>
        <v>21138</v>
      </c>
      <c r="AD127" s="151">
        <f>AB127/T127</f>
        <v>1.142660197778308E-2</v>
      </c>
      <c r="AE127" s="152">
        <f>Z127-T127</f>
        <v>862</v>
      </c>
      <c r="AF127" s="151">
        <f>AE127/T127</f>
        <v>1.142660197778308E-2</v>
      </c>
      <c r="AG127" s="152">
        <f>AA127-T127</f>
        <v>43411</v>
      </c>
      <c r="AH127" s="151">
        <f>AG127/T127</f>
        <v>0.575452689625918</v>
      </c>
      <c r="AI127" s="150">
        <v>78800</v>
      </c>
      <c r="AJ127" s="150">
        <v>78800</v>
      </c>
      <c r="AK127" s="147">
        <f>AI127-AA127</f>
        <v>-40049</v>
      </c>
      <c r="AL127" s="153">
        <f>AK127/AA127</f>
        <v>-0.33697380709976527</v>
      </c>
      <c r="AM127" s="147">
        <f>AJ127-AA127</f>
        <v>-40049</v>
      </c>
      <c r="AN127" s="153">
        <f>AM127/AA127</f>
        <v>-0.33697380709976527</v>
      </c>
      <c r="AO127" s="108">
        <v>83273</v>
      </c>
      <c r="AP127" s="108">
        <f>AO127-AA127</f>
        <v>-35576</v>
      </c>
      <c r="AQ127" s="131">
        <f>AP127/AA127</f>
        <v>-0.29933781521089786</v>
      </c>
      <c r="AR127" s="132">
        <v>78800</v>
      </c>
      <c r="AS127" s="132">
        <f>AR127-AA127</f>
        <v>-40049</v>
      </c>
      <c r="AT127" s="131">
        <f>AS127/AA127</f>
        <v>-0.33697380709976527</v>
      </c>
      <c r="AU127" s="108">
        <v>83560</v>
      </c>
      <c r="AV127" s="108">
        <f>AY127</f>
        <v>99850</v>
      </c>
      <c r="AW127" s="108">
        <f>AV127-AO127</f>
        <v>16577</v>
      </c>
      <c r="AX127" s="131">
        <f>AW127/AO127</f>
        <v>0.19906812532273366</v>
      </c>
      <c r="AY127" s="108">
        <v>99850</v>
      </c>
      <c r="AZ127" s="108">
        <f>AY127-AO127</f>
        <v>16577</v>
      </c>
      <c r="BA127" s="131">
        <f>AZ127/AO127</f>
        <v>0.19906812532273366</v>
      </c>
      <c r="BB127" s="112">
        <f>+AV127-AY127</f>
        <v>0</v>
      </c>
      <c r="BC127" s="108">
        <v>83560</v>
      </c>
      <c r="BD127" s="108">
        <f>BC127-AY127</f>
        <v>-16290</v>
      </c>
      <c r="BE127" s="134">
        <f>BD127/AY127</f>
        <v>-0.16314471707561343</v>
      </c>
      <c r="BF127" s="108">
        <v>82789</v>
      </c>
      <c r="BG127" s="108">
        <v>77689</v>
      </c>
      <c r="BH127" s="108">
        <v>86221</v>
      </c>
      <c r="BI127" s="108">
        <v>77000</v>
      </c>
      <c r="BJ127" s="108">
        <v>77000</v>
      </c>
      <c r="BK127" s="108">
        <v>77000</v>
      </c>
      <c r="BL127" s="108">
        <v>83900</v>
      </c>
      <c r="BM127" s="108">
        <v>83765.09</v>
      </c>
      <c r="BN127" s="108">
        <v>83900</v>
      </c>
      <c r="BO127" s="108">
        <v>0</v>
      </c>
      <c r="BP127" s="108">
        <f>BN127-BK127</f>
        <v>6900</v>
      </c>
      <c r="BQ127" s="134">
        <f>BP127/BK127</f>
        <v>8.9610389610389612E-2</v>
      </c>
      <c r="BR127" s="111">
        <f>BO127-BN127</f>
        <v>-83900</v>
      </c>
      <c r="BS127" s="108">
        <v>88041.17</v>
      </c>
      <c r="BT127" s="108">
        <v>244119</v>
      </c>
      <c r="BU127" s="108">
        <f>224509.22+1175.94</f>
        <v>225685.16</v>
      </c>
      <c r="BV127" s="108">
        <v>241620</v>
      </c>
      <c r="BW127" s="108">
        <v>251200</v>
      </c>
      <c r="BX127" s="108">
        <v>239370.76</v>
      </c>
      <c r="BY127" s="108">
        <f>BW127</f>
        <v>251200</v>
      </c>
      <c r="BZ127" s="108">
        <f>225287.02+10000</f>
        <v>235287.02</v>
      </c>
      <c r="CA127" s="108">
        <v>241910</v>
      </c>
      <c r="CB127" s="108">
        <v>243553.1</v>
      </c>
      <c r="CC127" s="108">
        <f>CB127</f>
        <v>243553.1</v>
      </c>
      <c r="CD127" s="108">
        <f>234498.08+2039.22</f>
        <v>236537.3</v>
      </c>
      <c r="CE127" s="108">
        <f>CC127</f>
        <v>243553.1</v>
      </c>
      <c r="CF127" s="108">
        <v>243553.1</v>
      </c>
    </row>
    <row r="128" spans="1:84" ht="12.75" customHeight="1" x14ac:dyDescent="0.4">
      <c r="A128" s="124"/>
      <c r="B128" s="124" t="s">
        <v>358</v>
      </c>
      <c r="C128" s="110" t="s">
        <v>359</v>
      </c>
      <c r="D128" s="106"/>
      <c r="E128" s="106"/>
      <c r="F128" s="106"/>
      <c r="G128" s="106"/>
      <c r="H128" s="106"/>
      <c r="I128" s="129"/>
      <c r="J128" s="130"/>
      <c r="K128" s="130"/>
      <c r="L128" s="130"/>
      <c r="M128" s="130"/>
      <c r="N128" s="129"/>
      <c r="O128" s="138"/>
      <c r="P128" s="181"/>
      <c r="Q128" s="132"/>
      <c r="R128" s="164"/>
      <c r="S128" s="164"/>
      <c r="T128" s="147"/>
      <c r="U128" s="132"/>
      <c r="V128" s="132"/>
      <c r="W128" s="132"/>
      <c r="X128" s="132"/>
      <c r="Y128" s="130"/>
      <c r="Z128" s="130"/>
      <c r="AA128" s="130"/>
      <c r="AB128" s="132"/>
      <c r="AC128" s="132"/>
      <c r="AD128" s="131"/>
      <c r="AE128" s="133"/>
      <c r="AF128" s="131"/>
      <c r="AG128" s="133"/>
      <c r="AH128" s="131"/>
      <c r="AI128" s="130">
        <v>26160</v>
      </c>
      <c r="AJ128" s="130">
        <v>60500</v>
      </c>
      <c r="AK128" s="130">
        <f>AI128-AA128</f>
        <v>26160</v>
      </c>
      <c r="AL128" s="134"/>
      <c r="AM128" s="130">
        <f>AJ128-AA128</f>
        <v>60500</v>
      </c>
      <c r="AN128" s="134"/>
      <c r="AO128" s="108">
        <v>10925</v>
      </c>
      <c r="AP128" s="108">
        <f>AO128-AA128</f>
        <v>10925</v>
      </c>
      <c r="AQ128" s="131"/>
      <c r="AR128" s="130">
        <v>67660</v>
      </c>
      <c r="AS128" s="132">
        <f>AR128-AA128</f>
        <v>67660</v>
      </c>
      <c r="AT128" s="131"/>
      <c r="AU128" s="108">
        <v>6500</v>
      </c>
      <c r="AV128" s="108">
        <f>AY128</f>
        <v>130500</v>
      </c>
      <c r="AW128" s="108">
        <f>AV128-AO128</f>
        <v>119575</v>
      </c>
      <c r="AX128" s="131">
        <f>AW128/AO128</f>
        <v>10.94508009153318</v>
      </c>
      <c r="AY128" s="108">
        <v>130500</v>
      </c>
      <c r="AZ128" s="108">
        <f>AY128-AO128</f>
        <v>119575</v>
      </c>
      <c r="BA128" s="131">
        <f>AZ128/AO128</f>
        <v>10.94508009153318</v>
      </c>
      <c r="BB128" s="112">
        <f>+AV128-AY128</f>
        <v>0</v>
      </c>
      <c r="BC128" s="108">
        <v>0</v>
      </c>
      <c r="BD128" s="108">
        <f>BC128-AY128</f>
        <v>-130500</v>
      </c>
      <c r="BE128" s="134"/>
      <c r="BF128" s="108">
        <f>BC128</f>
        <v>0</v>
      </c>
      <c r="BG128" s="108">
        <v>0</v>
      </c>
      <c r="BH128" s="108">
        <v>0</v>
      </c>
      <c r="BI128" s="108">
        <v>0</v>
      </c>
      <c r="BJ128" s="108">
        <v>0</v>
      </c>
      <c r="BK128" s="108">
        <v>0</v>
      </c>
      <c r="BL128" s="108">
        <v>0</v>
      </c>
      <c r="BM128" s="108">
        <v>0</v>
      </c>
      <c r="BN128" s="108">
        <v>0</v>
      </c>
      <c r="BO128" s="108">
        <v>0</v>
      </c>
      <c r="BP128" s="108">
        <f>BN128-BK128</f>
        <v>0</v>
      </c>
      <c r="BQ128" s="134"/>
      <c r="BR128" s="111">
        <f>BO128-BN128</f>
        <v>0</v>
      </c>
      <c r="BS128" s="108">
        <v>0</v>
      </c>
      <c r="BT128" s="108">
        <v>0</v>
      </c>
      <c r="BU128" s="108">
        <v>0</v>
      </c>
      <c r="BV128" s="108">
        <v>0</v>
      </c>
      <c r="BW128" s="108">
        <v>14251</v>
      </c>
      <c r="BX128" s="108">
        <v>0</v>
      </c>
      <c r="BY128" s="108">
        <f>BW128</f>
        <v>14251</v>
      </c>
      <c r="BZ128" s="108">
        <v>0</v>
      </c>
      <c r="CA128" s="108">
        <v>0</v>
      </c>
      <c r="CB128" s="108">
        <v>0</v>
      </c>
      <c r="CC128" s="108">
        <f>CB128</f>
        <v>0</v>
      </c>
      <c r="CD128" s="108">
        <v>0</v>
      </c>
      <c r="CE128" s="108">
        <f>CC128</f>
        <v>0</v>
      </c>
      <c r="CF128" s="108">
        <v>0</v>
      </c>
    </row>
    <row r="129" spans="1:84" ht="12.75" customHeight="1" x14ac:dyDescent="0.4">
      <c r="A129" s="124"/>
      <c r="B129" s="124"/>
      <c r="C129" s="127"/>
      <c r="D129" s="192"/>
      <c r="E129" s="192"/>
      <c r="F129" s="193"/>
      <c r="G129" s="192"/>
      <c r="H129" s="192"/>
      <c r="I129" s="194"/>
      <c r="J129" s="195"/>
      <c r="K129" s="195"/>
      <c r="L129" s="195"/>
      <c r="M129" s="195"/>
      <c r="N129" s="194"/>
      <c r="O129" s="196"/>
      <c r="P129" s="173"/>
      <c r="Q129" s="195"/>
      <c r="R129" s="195"/>
      <c r="S129" s="195"/>
      <c r="T129" s="195"/>
      <c r="U129" s="164"/>
      <c r="V129" s="164"/>
      <c r="W129" s="164"/>
      <c r="X129" s="164"/>
      <c r="Y129" s="164"/>
      <c r="Z129" s="164"/>
      <c r="AA129" s="164"/>
      <c r="AB129" s="164"/>
      <c r="AC129" s="164"/>
      <c r="AD129" s="197"/>
      <c r="AE129" s="198"/>
      <c r="AF129" s="197"/>
      <c r="AG129" s="198"/>
      <c r="AH129" s="197"/>
      <c r="AI129" s="164"/>
      <c r="AJ129" s="164"/>
      <c r="AK129" s="195"/>
      <c r="AL129" s="199"/>
      <c r="AM129" s="195"/>
      <c r="AN129" s="199"/>
      <c r="AO129" s="108"/>
      <c r="AP129" s="108"/>
      <c r="AQ129" s="131"/>
      <c r="AR129" s="132"/>
      <c r="AS129" s="132"/>
      <c r="AT129" s="131"/>
      <c r="AU129" s="108"/>
      <c r="AV129" s="108"/>
      <c r="AW129" s="108"/>
      <c r="AX129" s="131"/>
      <c r="AY129" s="108"/>
      <c r="AZ129" s="108"/>
      <c r="BA129" s="131"/>
      <c r="BC129" s="108"/>
      <c r="BD129" s="108"/>
      <c r="BE129" s="134"/>
      <c r="BF129" s="108"/>
      <c r="BG129" s="108"/>
      <c r="BH129" s="108"/>
      <c r="BI129" s="108"/>
      <c r="BJ129" s="108"/>
      <c r="BK129" s="108"/>
      <c r="BL129" s="108"/>
      <c r="BM129" s="108"/>
      <c r="BN129" s="108"/>
      <c r="BO129" s="108"/>
      <c r="BP129" s="108"/>
      <c r="BQ129" s="134"/>
      <c r="BT129" s="108"/>
      <c r="BU129" s="108"/>
      <c r="BV129" s="108"/>
      <c r="BW129" s="108"/>
      <c r="BX129" s="108"/>
    </row>
    <row r="130" spans="1:84" ht="12.75" customHeight="1" x14ac:dyDescent="0.4">
      <c r="A130" s="124"/>
      <c r="B130" s="124"/>
      <c r="C130" s="176" t="s">
        <v>360</v>
      </c>
      <c r="D130" s="192"/>
      <c r="E130" s="192"/>
      <c r="F130" s="193"/>
      <c r="G130" s="192"/>
      <c r="H130" s="192"/>
      <c r="I130" s="194"/>
      <c r="J130" s="195"/>
      <c r="K130" s="195"/>
      <c r="L130" s="195"/>
      <c r="M130" s="195"/>
      <c r="N130" s="194"/>
      <c r="O130" s="196"/>
      <c r="P130" s="173"/>
      <c r="Q130" s="195"/>
      <c r="R130" s="195"/>
      <c r="S130" s="195"/>
      <c r="T130" s="195"/>
      <c r="U130" s="164"/>
      <c r="V130" s="164"/>
      <c r="W130" s="164"/>
      <c r="X130" s="164"/>
      <c r="Y130" s="164"/>
      <c r="Z130" s="164"/>
      <c r="AA130" s="164"/>
      <c r="AB130" s="164"/>
      <c r="AC130" s="164"/>
      <c r="AD130" s="197"/>
      <c r="AE130" s="198"/>
      <c r="AF130" s="197"/>
      <c r="AG130" s="198"/>
      <c r="AH130" s="197"/>
      <c r="AI130" s="164"/>
      <c r="AJ130" s="164"/>
      <c r="AK130" s="195"/>
      <c r="AL130" s="199"/>
      <c r="AM130" s="195"/>
      <c r="AN130" s="199"/>
      <c r="AO130" s="108"/>
      <c r="AP130" s="108"/>
      <c r="AQ130" s="131"/>
      <c r="AR130" s="132"/>
      <c r="AS130" s="132"/>
      <c r="AT130" s="131"/>
      <c r="AU130" s="108"/>
      <c r="AV130" s="108"/>
      <c r="AW130" s="108"/>
      <c r="AX130" s="131"/>
      <c r="AY130" s="108">
        <f>SUM(AY126:AY129)</f>
        <v>437080</v>
      </c>
      <c r="AZ130" s="108"/>
      <c r="BA130" s="131"/>
      <c r="BC130" s="108"/>
      <c r="BD130" s="108"/>
      <c r="BE130" s="134"/>
      <c r="BF130" s="108">
        <f t="shared" ref="BF130:CD130" si="160">SUM(BF126:BF129)</f>
        <v>284311</v>
      </c>
      <c r="BG130" s="108">
        <f t="shared" si="160"/>
        <v>298459</v>
      </c>
      <c r="BH130" s="108">
        <f t="shared" si="160"/>
        <v>291369</v>
      </c>
      <c r="BI130" s="108">
        <f t="shared" si="160"/>
        <v>351432</v>
      </c>
      <c r="BJ130" s="108">
        <f t="shared" si="160"/>
        <v>323015</v>
      </c>
      <c r="BK130" s="108">
        <f t="shared" si="160"/>
        <v>323015</v>
      </c>
      <c r="BL130" s="108">
        <f t="shared" si="160"/>
        <v>332283</v>
      </c>
      <c r="BM130" s="108">
        <f t="shared" si="160"/>
        <v>305083.63</v>
      </c>
      <c r="BN130" s="108">
        <f t="shared" si="160"/>
        <v>332283</v>
      </c>
      <c r="BO130" s="108">
        <f t="shared" si="160"/>
        <v>0</v>
      </c>
      <c r="BP130" s="108">
        <f t="shared" si="160"/>
        <v>9268</v>
      </c>
      <c r="BQ130" s="108">
        <f t="shared" si="160"/>
        <v>9.9235818954128821E-2</v>
      </c>
      <c r="BR130" s="108">
        <f t="shared" si="160"/>
        <v>-332283</v>
      </c>
      <c r="BS130" s="108">
        <f t="shared" si="160"/>
        <v>338024.19</v>
      </c>
      <c r="BT130" s="108">
        <f t="shared" si="160"/>
        <v>585163</v>
      </c>
      <c r="BU130" s="108">
        <f t="shared" si="160"/>
        <v>557959.1</v>
      </c>
      <c r="BV130" s="108">
        <f t="shared" si="160"/>
        <v>590754</v>
      </c>
      <c r="BW130" s="108">
        <f t="shared" si="160"/>
        <v>625370</v>
      </c>
      <c r="BX130" s="108">
        <f t="shared" si="160"/>
        <v>583209.96</v>
      </c>
      <c r="BY130" s="108">
        <f t="shared" si="160"/>
        <v>625370</v>
      </c>
      <c r="BZ130" s="108">
        <f t="shared" si="160"/>
        <v>596935.06999999995</v>
      </c>
      <c r="CA130" s="108">
        <f t="shared" si="160"/>
        <v>610978.08000000007</v>
      </c>
      <c r="CB130" s="108">
        <f t="shared" si="160"/>
        <v>615494.19000000006</v>
      </c>
      <c r="CC130" s="108">
        <f>CB130</f>
        <v>615494.19000000006</v>
      </c>
      <c r="CD130" s="108">
        <f t="shared" si="160"/>
        <v>631940.07000000007</v>
      </c>
      <c r="CE130" s="108">
        <f>SUM(CE126:CE129)</f>
        <v>753216.19000000006</v>
      </c>
      <c r="CF130" s="108">
        <f>SUM(CF126:CF129)</f>
        <v>670851.69000000006</v>
      </c>
    </row>
    <row r="131" spans="1:84" ht="12.75" customHeight="1" x14ac:dyDescent="0.4">
      <c r="A131" s="124"/>
      <c r="B131" s="124"/>
      <c r="C131" s="176"/>
      <c r="D131" s="192"/>
      <c r="E131" s="192"/>
      <c r="F131" s="193"/>
      <c r="G131" s="192"/>
      <c r="H131" s="192"/>
      <c r="I131" s="194"/>
      <c r="J131" s="195"/>
      <c r="K131" s="195"/>
      <c r="L131" s="195"/>
      <c r="M131" s="195"/>
      <c r="N131" s="194"/>
      <c r="O131" s="196"/>
      <c r="P131" s="173"/>
      <c r="Q131" s="195"/>
      <c r="R131" s="195"/>
      <c r="S131" s="195"/>
      <c r="T131" s="195"/>
      <c r="U131" s="164"/>
      <c r="V131" s="164"/>
      <c r="W131" s="164"/>
      <c r="X131" s="164"/>
      <c r="Y131" s="164"/>
      <c r="Z131" s="164"/>
      <c r="AA131" s="164"/>
      <c r="AB131" s="164"/>
      <c r="AC131" s="164"/>
      <c r="AD131" s="197"/>
      <c r="AE131" s="198"/>
      <c r="AF131" s="197"/>
      <c r="AG131" s="198"/>
      <c r="AH131" s="197"/>
      <c r="AI131" s="164"/>
      <c r="AJ131" s="164"/>
      <c r="AK131" s="195"/>
      <c r="AL131" s="199"/>
      <c r="AM131" s="195"/>
      <c r="AN131" s="199"/>
      <c r="AO131" s="108"/>
      <c r="AP131" s="108"/>
      <c r="AQ131" s="131"/>
      <c r="AR131" s="132"/>
      <c r="AS131" s="132"/>
      <c r="AT131" s="131"/>
      <c r="AU131" s="108"/>
      <c r="AV131" s="108"/>
      <c r="AW131" s="108"/>
      <c r="AX131" s="131"/>
      <c r="AY131" s="108"/>
      <c r="AZ131" s="108"/>
      <c r="BA131" s="131"/>
      <c r="BC131" s="108"/>
      <c r="BD131" s="108"/>
      <c r="BE131" s="134"/>
      <c r="BF131" s="108"/>
      <c r="BG131" s="108"/>
      <c r="BH131" s="108"/>
      <c r="BI131" s="108"/>
      <c r="BJ131" s="108"/>
      <c r="BK131" s="108"/>
      <c r="BL131" s="108"/>
      <c r="BM131" s="108"/>
      <c r="BN131" s="108"/>
      <c r="BO131" s="108"/>
      <c r="BP131" s="108"/>
      <c r="BQ131" s="108"/>
      <c r="BR131" s="108"/>
      <c r="BT131" s="108"/>
      <c r="BU131" s="108"/>
      <c r="BV131" s="108"/>
      <c r="BW131" s="108"/>
      <c r="BX131" s="108"/>
    </row>
    <row r="132" spans="1:84" ht="12.75" customHeight="1" x14ac:dyDescent="0.4">
      <c r="A132" s="124"/>
      <c r="B132" s="124"/>
      <c r="C132" s="180" t="s">
        <v>361</v>
      </c>
      <c r="D132" s="192"/>
      <c r="E132" s="192"/>
      <c r="F132" s="193"/>
      <c r="G132" s="192"/>
      <c r="H132" s="192"/>
      <c r="I132" s="194"/>
      <c r="J132" s="195"/>
      <c r="K132" s="195"/>
      <c r="L132" s="195"/>
      <c r="M132" s="195"/>
      <c r="N132" s="194"/>
      <c r="O132" s="196"/>
      <c r="P132" s="173"/>
      <c r="Q132" s="195"/>
      <c r="R132" s="195"/>
      <c r="S132" s="195"/>
      <c r="T132" s="195"/>
      <c r="U132" s="164"/>
      <c r="V132" s="164"/>
      <c r="W132" s="164"/>
      <c r="X132" s="164"/>
      <c r="Y132" s="164"/>
      <c r="Z132" s="164"/>
      <c r="AA132" s="164"/>
      <c r="AB132" s="164"/>
      <c r="AC132" s="164"/>
      <c r="AD132" s="197"/>
      <c r="AE132" s="198"/>
      <c r="AF132" s="197"/>
      <c r="AG132" s="198"/>
      <c r="AH132" s="197"/>
      <c r="AI132" s="164"/>
      <c r="AJ132" s="164"/>
      <c r="AK132" s="195"/>
      <c r="AL132" s="199"/>
      <c r="AM132" s="195"/>
      <c r="AN132" s="199"/>
      <c r="AO132" s="108"/>
      <c r="AP132" s="108"/>
      <c r="AQ132" s="131"/>
      <c r="AR132" s="132"/>
      <c r="AS132" s="132"/>
      <c r="AT132" s="131"/>
      <c r="AU132" s="108"/>
      <c r="AV132" s="108"/>
      <c r="AW132" s="108"/>
      <c r="AX132" s="131"/>
      <c r="AY132" s="108"/>
      <c r="AZ132" s="108"/>
      <c r="BA132" s="131"/>
      <c r="BC132" s="108"/>
      <c r="BD132" s="108"/>
      <c r="BE132" s="134"/>
      <c r="BF132" s="108"/>
      <c r="BG132" s="108"/>
      <c r="BH132" s="108"/>
      <c r="BI132" s="108"/>
      <c r="BJ132" s="108"/>
      <c r="BK132" s="108"/>
      <c r="BL132" s="108"/>
      <c r="BM132" s="108"/>
      <c r="BN132" s="108"/>
      <c r="BO132" s="108"/>
      <c r="BP132" s="108"/>
      <c r="BQ132" s="108"/>
      <c r="BR132" s="108"/>
      <c r="BT132" s="108"/>
      <c r="BU132" s="108"/>
      <c r="BV132" s="108"/>
      <c r="BW132" s="108"/>
      <c r="BX132" s="108"/>
    </row>
    <row r="133" spans="1:84" ht="12.75" customHeight="1" x14ac:dyDescent="0.4">
      <c r="A133" s="124"/>
      <c r="B133" s="124">
        <f>B127+1</f>
        <v>73</v>
      </c>
      <c r="C133" s="110" t="s">
        <v>362</v>
      </c>
      <c r="D133" s="106"/>
      <c r="E133" s="106">
        <v>0</v>
      </c>
      <c r="F133" s="128">
        <v>0</v>
      </c>
      <c r="G133" s="106">
        <v>0</v>
      </c>
      <c r="H133" s="106">
        <v>0</v>
      </c>
      <c r="I133" s="129"/>
      <c r="J133" s="130">
        <v>225000</v>
      </c>
      <c r="K133" s="130">
        <v>365000</v>
      </c>
      <c r="L133" s="130">
        <v>355630</v>
      </c>
      <c r="M133" s="132">
        <v>345000</v>
      </c>
      <c r="N133" s="129">
        <f>M133-L133</f>
        <v>-10630</v>
      </c>
      <c r="O133" s="138">
        <f>N133/L133</f>
        <v>-2.989061665213846E-2</v>
      </c>
      <c r="Q133" s="132">
        <v>345000</v>
      </c>
      <c r="R133" s="164">
        <v>345000</v>
      </c>
      <c r="S133" s="164">
        <v>256000</v>
      </c>
      <c r="T133" s="130">
        <v>256000</v>
      </c>
      <c r="U133" s="132">
        <f>S133-R133</f>
        <v>-89000</v>
      </c>
      <c r="V133" s="132">
        <f>U133/Q133</f>
        <v>-0.25797101449275361</v>
      </c>
      <c r="W133" s="132"/>
      <c r="X133" s="132"/>
      <c r="Y133" s="130">
        <f>T133</f>
        <v>256000</v>
      </c>
      <c r="Z133" s="130">
        <v>256000</v>
      </c>
      <c r="AA133" s="130">
        <v>236000</v>
      </c>
      <c r="AB133" s="132">
        <f>Y133-T133</f>
        <v>0</v>
      </c>
      <c r="AC133" s="132">
        <f>T133-S133</f>
        <v>0</v>
      </c>
      <c r="AD133" s="131">
        <f>AB133/T133</f>
        <v>0</v>
      </c>
      <c r="AE133" s="133">
        <f>Z133-T133</f>
        <v>0</v>
      </c>
      <c r="AF133" s="131">
        <f>AE133/T133</f>
        <v>0</v>
      </c>
      <c r="AG133" s="133">
        <f>AA133-T133</f>
        <v>-20000</v>
      </c>
      <c r="AH133" s="131">
        <f>AG133/T133</f>
        <v>-7.8125E-2</v>
      </c>
      <c r="AI133" s="130">
        <v>236000</v>
      </c>
      <c r="AJ133" s="130">
        <v>0</v>
      </c>
      <c r="AK133" s="130">
        <f>AI133-AA133</f>
        <v>0</v>
      </c>
      <c r="AL133" s="134">
        <f>AK133/AA133</f>
        <v>0</v>
      </c>
      <c r="AM133" s="130">
        <f>AJ133-AA133</f>
        <v>-236000</v>
      </c>
      <c r="AN133" s="134">
        <f>AM133/AA133</f>
        <v>-1</v>
      </c>
      <c r="AO133" s="108">
        <f>AJ133</f>
        <v>0</v>
      </c>
      <c r="AP133" s="108">
        <f>AO133-AA133</f>
        <v>-236000</v>
      </c>
      <c r="AQ133" s="131">
        <f>AP133/AA133</f>
        <v>-1</v>
      </c>
      <c r="AR133" s="130">
        <v>0</v>
      </c>
      <c r="AS133" s="132">
        <f>AR133-AA133</f>
        <v>-236000</v>
      </c>
      <c r="AT133" s="131">
        <f>AS133/AA133</f>
        <v>-1</v>
      </c>
      <c r="AU133" s="108">
        <v>125000</v>
      </c>
      <c r="AV133" s="108">
        <f>AY133</f>
        <v>80000</v>
      </c>
      <c r="AW133" s="108">
        <f>AV133-AO133</f>
        <v>80000</v>
      </c>
      <c r="AX133" s="131"/>
      <c r="AY133" s="108">
        <v>80000</v>
      </c>
      <c r="AZ133" s="108">
        <f>AY133-AO133</f>
        <v>80000</v>
      </c>
      <c r="BA133" s="131"/>
      <c r="BB133" s="112">
        <f>+AV133-AY133</f>
        <v>0</v>
      </c>
      <c r="BC133" s="108">
        <v>100000</v>
      </c>
      <c r="BD133" s="108">
        <f>BC133-AY133</f>
        <v>20000</v>
      </c>
      <c r="BE133" s="134">
        <f>BD133/AY133</f>
        <v>0.25</v>
      </c>
      <c r="BF133" s="108">
        <v>160847</v>
      </c>
      <c r="BG133" s="108">
        <v>125000</v>
      </c>
      <c r="BH133" s="108">
        <v>178863</v>
      </c>
      <c r="BI133" s="108">
        <v>127500</v>
      </c>
      <c r="BJ133" s="108">
        <v>127500</v>
      </c>
      <c r="BK133" s="108">
        <v>127500</v>
      </c>
      <c r="BL133" s="108">
        <v>148092</v>
      </c>
      <c r="BM133" s="108">
        <v>189265.45</v>
      </c>
      <c r="BN133" s="108">
        <v>148092</v>
      </c>
      <c r="BO133" s="108">
        <v>0</v>
      </c>
      <c r="BP133" s="108">
        <f>BN133-BK133</f>
        <v>20592</v>
      </c>
      <c r="BQ133" s="134">
        <f>BP133/BK133</f>
        <v>0.16150588235294117</v>
      </c>
      <c r="BR133" s="111">
        <f>BO133-BN133</f>
        <v>-148092</v>
      </c>
      <c r="BS133" s="108">
        <f>132851.77+12238.48</f>
        <v>145090.25</v>
      </c>
      <c r="BT133" s="108">
        <v>183092</v>
      </c>
      <c r="BU133" s="108">
        <f>139597.91+12325.96</f>
        <v>151923.87</v>
      </c>
      <c r="BV133" s="108">
        <v>193754</v>
      </c>
      <c r="BW133" s="108">
        <v>147000</v>
      </c>
      <c r="BX133" s="108">
        <v>148267.26999999999</v>
      </c>
      <c r="BY133" s="108">
        <f>BW133</f>
        <v>147000</v>
      </c>
      <c r="BZ133" s="108">
        <f>145920.12+1500</f>
        <v>147420.12</v>
      </c>
      <c r="CA133" s="108">
        <v>174150</v>
      </c>
      <c r="CB133" s="108">
        <v>153230</v>
      </c>
      <c r="CC133" s="108">
        <f>CB133</f>
        <v>153230</v>
      </c>
      <c r="CD133" s="108">
        <v>146740.14000000001</v>
      </c>
      <c r="CE133" s="108">
        <f>CC133</f>
        <v>153230</v>
      </c>
      <c r="CF133" s="108">
        <v>156359.88</v>
      </c>
    </row>
    <row r="134" spans="1:84" x14ac:dyDescent="0.4">
      <c r="A134" s="124" t="s">
        <v>134</v>
      </c>
      <c r="B134" s="124"/>
      <c r="C134" s="176"/>
      <c r="D134" s="106"/>
      <c r="E134" s="106"/>
      <c r="F134" s="132"/>
      <c r="G134" s="112"/>
      <c r="H134" s="112"/>
      <c r="I134" s="140"/>
      <c r="N134" s="129"/>
      <c r="R134" s="164"/>
      <c r="S134" s="164"/>
      <c r="T134" s="132"/>
      <c r="U134" s="132"/>
      <c r="V134" s="132"/>
      <c r="W134" s="132"/>
      <c r="X134" s="132"/>
      <c r="Y134" s="130"/>
      <c r="Z134" s="130"/>
      <c r="AA134" s="130"/>
      <c r="AB134" s="132"/>
      <c r="AC134" s="132"/>
      <c r="AU134" s="108"/>
      <c r="AV134" s="108"/>
      <c r="AW134" s="108"/>
      <c r="AX134" s="108"/>
      <c r="AY134" s="108"/>
      <c r="BC134" s="108"/>
      <c r="BF134" s="108"/>
    </row>
    <row r="135" spans="1:84" x14ac:dyDescent="0.4">
      <c r="A135" s="124"/>
      <c r="B135" s="124"/>
      <c r="C135" s="176" t="s">
        <v>363</v>
      </c>
      <c r="D135" s="106"/>
      <c r="E135" s="106"/>
      <c r="F135" s="132"/>
      <c r="G135" s="112"/>
      <c r="H135" s="112"/>
      <c r="I135" s="140"/>
      <c r="N135" s="129"/>
      <c r="R135" s="164"/>
      <c r="S135" s="164"/>
      <c r="T135" s="132"/>
      <c r="U135" s="132"/>
      <c r="V135" s="132"/>
      <c r="W135" s="132"/>
      <c r="X135" s="132"/>
      <c r="Y135" s="130"/>
      <c r="Z135" s="130"/>
      <c r="AA135" s="130"/>
      <c r="AB135" s="132"/>
      <c r="AC135" s="132"/>
      <c r="AU135" s="108"/>
      <c r="AV135" s="108"/>
      <c r="AW135" s="108"/>
      <c r="AX135" s="108"/>
      <c r="AY135" s="108">
        <f>AY133</f>
        <v>80000</v>
      </c>
      <c r="BC135" s="108"/>
      <c r="BF135" s="108">
        <f t="shared" ref="BF135:CF135" si="161">BF133</f>
        <v>160847</v>
      </c>
      <c r="BG135" s="108">
        <f t="shared" si="161"/>
        <v>125000</v>
      </c>
      <c r="BH135" s="108">
        <f t="shared" si="161"/>
        <v>178863</v>
      </c>
      <c r="BI135" s="108">
        <f t="shared" si="161"/>
        <v>127500</v>
      </c>
      <c r="BJ135" s="108">
        <f t="shared" si="161"/>
        <v>127500</v>
      </c>
      <c r="BK135" s="108">
        <f t="shared" si="161"/>
        <v>127500</v>
      </c>
      <c r="BL135" s="108">
        <f t="shared" si="161"/>
        <v>148092</v>
      </c>
      <c r="BM135" s="108">
        <f t="shared" si="161"/>
        <v>189265.45</v>
      </c>
      <c r="BN135" s="108">
        <f t="shared" si="161"/>
        <v>148092</v>
      </c>
      <c r="BO135" s="108">
        <f t="shared" si="161"/>
        <v>0</v>
      </c>
      <c r="BP135" s="108">
        <f t="shared" si="161"/>
        <v>20592</v>
      </c>
      <c r="BQ135" s="108">
        <f t="shared" si="161"/>
        <v>0.16150588235294117</v>
      </c>
      <c r="BR135" s="108">
        <f t="shared" si="161"/>
        <v>-148092</v>
      </c>
      <c r="BS135" s="108">
        <f t="shared" si="161"/>
        <v>145090.25</v>
      </c>
      <c r="BT135" s="108">
        <f t="shared" si="161"/>
        <v>183092</v>
      </c>
      <c r="BU135" s="108">
        <f t="shared" si="161"/>
        <v>151923.87</v>
      </c>
      <c r="BV135" s="108">
        <f t="shared" si="161"/>
        <v>193754</v>
      </c>
      <c r="BW135" s="108">
        <f t="shared" si="161"/>
        <v>147000</v>
      </c>
      <c r="BX135" s="108">
        <f t="shared" si="161"/>
        <v>148267.26999999999</v>
      </c>
      <c r="BY135" s="108">
        <f t="shared" si="161"/>
        <v>147000</v>
      </c>
      <c r="BZ135" s="108">
        <f t="shared" si="161"/>
        <v>147420.12</v>
      </c>
      <c r="CA135" s="108">
        <f t="shared" si="161"/>
        <v>174150</v>
      </c>
      <c r="CB135" s="108">
        <f t="shared" si="161"/>
        <v>153230</v>
      </c>
      <c r="CC135" s="108">
        <f t="shared" si="161"/>
        <v>153230</v>
      </c>
      <c r="CD135" s="108">
        <f t="shared" si="161"/>
        <v>146740.14000000001</v>
      </c>
      <c r="CE135" s="108">
        <f t="shared" si="161"/>
        <v>153230</v>
      </c>
      <c r="CF135" s="108">
        <f t="shared" si="161"/>
        <v>156359.88</v>
      </c>
    </row>
    <row r="136" spans="1:84" x14ac:dyDescent="0.4">
      <c r="A136" s="124"/>
      <c r="B136" s="124"/>
      <c r="C136" s="176"/>
      <c r="D136" s="106"/>
      <c r="E136" s="106"/>
      <c r="F136" s="132"/>
      <c r="G136" s="112"/>
      <c r="H136" s="112"/>
      <c r="I136" s="140"/>
      <c r="N136" s="129"/>
      <c r="R136" s="164"/>
      <c r="S136" s="164"/>
      <c r="T136" s="132"/>
      <c r="U136" s="132"/>
      <c r="V136" s="132"/>
      <c r="W136" s="132"/>
      <c r="X136" s="132"/>
      <c r="Y136" s="130"/>
      <c r="Z136" s="130"/>
      <c r="AA136" s="130"/>
      <c r="AB136" s="132"/>
      <c r="AC136" s="132"/>
      <c r="AU136" s="108"/>
      <c r="AV136" s="108"/>
      <c r="AW136" s="108"/>
      <c r="AX136" s="108"/>
      <c r="AY136" s="108"/>
      <c r="BC136" s="108"/>
      <c r="BF136" s="108"/>
    </row>
    <row r="137" spans="1:84" x14ac:dyDescent="0.4">
      <c r="A137" s="124" t="s">
        <v>134</v>
      </c>
      <c r="B137" s="124"/>
      <c r="C137" s="180" t="s">
        <v>57</v>
      </c>
      <c r="D137" s="106"/>
      <c r="E137" s="106"/>
      <c r="F137" s="128"/>
      <c r="G137" s="112"/>
      <c r="H137" s="112"/>
      <c r="I137" s="140"/>
      <c r="N137" s="129"/>
      <c r="R137" s="164"/>
      <c r="S137" s="164"/>
      <c r="T137" s="132"/>
      <c r="U137" s="132"/>
      <c r="V137" s="132"/>
      <c r="W137" s="132"/>
      <c r="X137" s="132"/>
      <c r="Y137" s="130"/>
      <c r="Z137" s="130"/>
      <c r="AA137" s="130"/>
      <c r="AB137" s="132"/>
      <c r="AC137" s="132"/>
      <c r="AU137" s="108"/>
      <c r="AV137" s="108"/>
      <c r="AW137" s="108"/>
      <c r="AX137" s="108"/>
      <c r="AY137" s="108"/>
      <c r="BC137" s="108"/>
      <c r="BF137" s="108"/>
    </row>
    <row r="138" spans="1:84" s="141" customFormat="1" x14ac:dyDescent="0.4">
      <c r="A138" s="124">
        <v>541</v>
      </c>
      <c r="B138" s="124">
        <f>B133+1</f>
        <v>74</v>
      </c>
      <c r="C138" s="110" t="s">
        <v>364</v>
      </c>
      <c r="D138" s="106">
        <v>44122</v>
      </c>
      <c r="E138" s="106">
        <v>54340</v>
      </c>
      <c r="F138" s="106">
        <v>55300</v>
      </c>
      <c r="G138" s="106">
        <v>61538</v>
      </c>
      <c r="H138" s="106">
        <v>62429</v>
      </c>
      <c r="I138" s="140"/>
      <c r="J138" s="130">
        <v>64219</v>
      </c>
      <c r="K138" s="130">
        <v>73666</v>
      </c>
      <c r="L138" s="130">
        <v>59712</v>
      </c>
      <c r="M138" s="132">
        <v>60591</v>
      </c>
      <c r="N138" s="129">
        <f>M138-L138</f>
        <v>879</v>
      </c>
      <c r="O138" s="138">
        <f>N138/L138</f>
        <v>1.4720659163987139E-2</v>
      </c>
      <c r="Q138" s="132">
        <v>58367.5</v>
      </c>
      <c r="R138" s="164">
        <v>60434.36</v>
      </c>
      <c r="S138" s="164">
        <v>77424</v>
      </c>
      <c r="T138" s="132">
        <v>76529</v>
      </c>
      <c r="U138" s="132">
        <f>S138-R138</f>
        <v>16989.64</v>
      </c>
      <c r="V138" s="132">
        <f>U138/Q138</f>
        <v>0.29108048143230392</v>
      </c>
      <c r="W138" s="132"/>
      <c r="X138" s="132"/>
      <c r="Y138" s="130">
        <v>83566</v>
      </c>
      <c r="Z138" s="130">
        <v>83196</v>
      </c>
      <c r="AA138" s="130">
        <v>77987</v>
      </c>
      <c r="AB138" s="132">
        <f>Y138-T138</f>
        <v>7037</v>
      </c>
      <c r="AC138" s="132">
        <f>T138-S138</f>
        <v>-895</v>
      </c>
      <c r="AD138" s="131">
        <f>AB138/T138</f>
        <v>9.195207045695096E-2</v>
      </c>
      <c r="AE138" s="133">
        <f>Z138-T138</f>
        <v>6667</v>
      </c>
      <c r="AF138" s="131">
        <f>AE138/T138</f>
        <v>8.711730193782749E-2</v>
      </c>
      <c r="AG138" s="133">
        <f>AA138-T138</f>
        <v>1458</v>
      </c>
      <c r="AH138" s="131">
        <f>AG138/T138</f>
        <v>1.9051601353735185E-2</v>
      </c>
      <c r="AI138" s="130">
        <v>86248</v>
      </c>
      <c r="AJ138" s="130">
        <v>84849</v>
      </c>
      <c r="AK138" s="130">
        <f>AI138-AA138</f>
        <v>8261</v>
      </c>
      <c r="AL138" s="134">
        <f>AK138/AA138</f>
        <v>0.10592791106210009</v>
      </c>
      <c r="AM138" s="130">
        <f>AJ138-AA138</f>
        <v>6862</v>
      </c>
      <c r="AN138" s="134">
        <f>AM138/AA138</f>
        <v>8.7989023811660919E-2</v>
      </c>
      <c r="AO138" s="108">
        <v>85227</v>
      </c>
      <c r="AP138" s="108">
        <f>AO138-AA138</f>
        <v>7240</v>
      </c>
      <c r="AQ138" s="131">
        <f>AP138/AA138</f>
        <v>9.2835985484760283E-2</v>
      </c>
      <c r="AR138" s="130">
        <v>87638</v>
      </c>
      <c r="AS138" s="132">
        <f>AR138-AA138</f>
        <v>9651</v>
      </c>
      <c r="AT138" s="131">
        <f>AS138/AA138</f>
        <v>0.12375139446317976</v>
      </c>
      <c r="AU138" s="108">
        <v>96282</v>
      </c>
      <c r="AV138" s="108">
        <f>AY138</f>
        <v>97899</v>
      </c>
      <c r="AW138" s="108">
        <f>AV138-AO138</f>
        <v>12672</v>
      </c>
      <c r="AX138" s="131">
        <f>AW138/AO138</f>
        <v>0.14868527579288254</v>
      </c>
      <c r="AY138" s="108">
        <v>97899</v>
      </c>
      <c r="AZ138" s="108">
        <f>AY138-AO138</f>
        <v>12672</v>
      </c>
      <c r="BA138" s="131">
        <f>AZ138/AO138</f>
        <v>0.14868527579288254</v>
      </c>
      <c r="BB138" s="112">
        <f>+AV138-AY138</f>
        <v>0</v>
      </c>
      <c r="BC138" s="108">
        <v>96042</v>
      </c>
      <c r="BD138" s="108">
        <f>BC138-AY138</f>
        <v>-1857</v>
      </c>
      <c r="BE138" s="134">
        <f>BD138/AY138</f>
        <v>-1.8968528789875278E-2</v>
      </c>
      <c r="BF138" s="108">
        <v>93205</v>
      </c>
      <c r="BG138" s="108">
        <v>105076</v>
      </c>
      <c r="BH138" s="108">
        <v>95610</v>
      </c>
      <c r="BI138" s="108">
        <v>123920</v>
      </c>
      <c r="BJ138" s="108">
        <v>118460</v>
      </c>
      <c r="BK138" s="108">
        <v>118460</v>
      </c>
      <c r="BL138" s="108">
        <v>118460</v>
      </c>
      <c r="BM138" s="108">
        <v>105391.59</v>
      </c>
      <c r="BN138" s="108">
        <v>106616</v>
      </c>
      <c r="BO138" s="108">
        <v>14325</v>
      </c>
      <c r="BP138" s="108">
        <f>BN138-BK138</f>
        <v>-11844</v>
      </c>
      <c r="BQ138" s="134">
        <f>BP138/BK138</f>
        <v>-9.9983116663852775E-2</v>
      </c>
      <c r="BR138" s="111">
        <f>BO138-BN138</f>
        <v>-92291</v>
      </c>
      <c r="BS138" s="108">
        <f>101269.02+5346</f>
        <v>106615.02</v>
      </c>
      <c r="BT138" s="108">
        <v>99647</v>
      </c>
      <c r="BU138" s="108">
        <v>94441.85</v>
      </c>
      <c r="BV138" s="108">
        <v>106812</v>
      </c>
      <c r="BW138" s="108">
        <v>111210</v>
      </c>
      <c r="BX138" s="108">
        <v>110872.22</v>
      </c>
      <c r="BY138" s="108">
        <f>BW138</f>
        <v>111210</v>
      </c>
      <c r="BZ138" s="108">
        <v>93572.25</v>
      </c>
      <c r="CA138" s="108">
        <v>113819.12</v>
      </c>
      <c r="CB138" s="108">
        <v>125381.74</v>
      </c>
      <c r="CC138" s="108">
        <f>125381.74+8643.04</f>
        <v>134024.78</v>
      </c>
      <c r="CD138" s="108">
        <v>111559.35</v>
      </c>
      <c r="CE138" s="108">
        <f>CC138</f>
        <v>134024.78</v>
      </c>
      <c r="CF138" s="108">
        <v>139718.56</v>
      </c>
    </row>
    <row r="139" spans="1:84" s="141" customFormat="1" x14ac:dyDescent="0.4">
      <c r="A139" s="124"/>
      <c r="B139" s="124"/>
      <c r="C139" s="110"/>
      <c r="D139" s="106"/>
      <c r="E139" s="106"/>
      <c r="F139" s="106"/>
      <c r="G139" s="112"/>
      <c r="H139" s="112"/>
      <c r="I139" s="140"/>
      <c r="J139" s="140"/>
      <c r="K139" s="140"/>
      <c r="L139" s="140"/>
      <c r="M139" s="140"/>
      <c r="N139" s="129"/>
      <c r="R139" s="164"/>
      <c r="S139" s="164"/>
      <c r="T139" s="132"/>
      <c r="U139" s="132"/>
      <c r="V139" s="132"/>
      <c r="W139" s="132"/>
      <c r="X139" s="132"/>
      <c r="Y139" s="130"/>
      <c r="Z139" s="130"/>
      <c r="AA139" s="130"/>
      <c r="AB139" s="132"/>
      <c r="AC139" s="132"/>
      <c r="AU139" s="108"/>
      <c r="AV139" s="108"/>
      <c r="AW139" s="108"/>
      <c r="AX139" s="108"/>
      <c r="AY139" s="108"/>
      <c r="BB139" s="143"/>
      <c r="BC139" s="108"/>
      <c r="BF139" s="108"/>
      <c r="BS139" s="108"/>
    </row>
    <row r="140" spans="1:84" x14ac:dyDescent="0.4">
      <c r="A140" s="124" t="s">
        <v>134</v>
      </c>
      <c r="B140" s="124"/>
      <c r="C140" s="176" t="s">
        <v>365</v>
      </c>
      <c r="D140" s="132">
        <f>SUM(D137:D138)</f>
        <v>44122</v>
      </c>
      <c r="E140" s="132">
        <f>SUM(E137:E138)</f>
        <v>54340</v>
      </c>
      <c r="F140" s="132">
        <f>SUM(F138:F138)</f>
        <v>55300</v>
      </c>
      <c r="G140" s="132">
        <f>SUM(G138:G138)</f>
        <v>61538</v>
      </c>
      <c r="H140" s="132">
        <f>SUM(H138:H138)</f>
        <v>62429</v>
      </c>
      <c r="I140" s="166" t="e">
        <f>#REF!-G140</f>
        <v>#REF!</v>
      </c>
      <c r="J140" s="132">
        <f>SUM(J138:J138)</f>
        <v>64219</v>
      </c>
      <c r="K140" s="132">
        <f>SUM(K138:K138)</f>
        <v>73666</v>
      </c>
      <c r="L140" s="132">
        <f>SUM(L138:L138)</f>
        <v>59712</v>
      </c>
      <c r="M140" s="132">
        <f>SUM(M138:M138)</f>
        <v>60591</v>
      </c>
      <c r="N140" s="129">
        <f>M140-L140</f>
        <v>879</v>
      </c>
      <c r="O140" s="131">
        <f>N140/L140</f>
        <v>1.4720659163987139E-2</v>
      </c>
      <c r="Q140" s="132">
        <f t="shared" ref="Q140:AJ140" si="162">SUM(Q138:Q138)</f>
        <v>58367.5</v>
      </c>
      <c r="R140" s="164">
        <f t="shared" si="162"/>
        <v>60434.36</v>
      </c>
      <c r="S140" s="164">
        <f t="shared" si="162"/>
        <v>77424</v>
      </c>
      <c r="T140" s="132">
        <f t="shared" si="162"/>
        <v>76529</v>
      </c>
      <c r="U140" s="178">
        <f t="shared" si="162"/>
        <v>16989.64</v>
      </c>
      <c r="V140" s="178">
        <f t="shared" si="162"/>
        <v>0.29108048143230392</v>
      </c>
      <c r="W140" s="178">
        <f t="shared" si="162"/>
        <v>0</v>
      </c>
      <c r="X140" s="178">
        <f t="shared" si="162"/>
        <v>0</v>
      </c>
      <c r="Y140" s="130">
        <f t="shared" si="162"/>
        <v>83566</v>
      </c>
      <c r="Z140" s="130">
        <f t="shared" si="162"/>
        <v>83196</v>
      </c>
      <c r="AA140" s="130">
        <f t="shared" si="162"/>
        <v>77987</v>
      </c>
      <c r="AB140" s="130">
        <f t="shared" si="162"/>
        <v>7037</v>
      </c>
      <c r="AC140" s="130">
        <f t="shared" si="162"/>
        <v>-895</v>
      </c>
      <c r="AD140" s="130">
        <f t="shared" si="162"/>
        <v>9.195207045695096E-2</v>
      </c>
      <c r="AE140" s="130">
        <f t="shared" si="162"/>
        <v>6667</v>
      </c>
      <c r="AF140" s="130">
        <f t="shared" si="162"/>
        <v>8.711730193782749E-2</v>
      </c>
      <c r="AG140" s="130">
        <f t="shared" si="162"/>
        <v>1458</v>
      </c>
      <c r="AH140" s="130">
        <f t="shared" si="162"/>
        <v>1.9051601353735185E-2</v>
      </c>
      <c r="AI140" s="130">
        <f t="shared" si="162"/>
        <v>86248</v>
      </c>
      <c r="AJ140" s="130">
        <f t="shared" si="162"/>
        <v>84849</v>
      </c>
      <c r="AK140" s="130">
        <f>AI140-AA140</f>
        <v>8261</v>
      </c>
      <c r="AL140" s="134">
        <f>AK140/AA140</f>
        <v>0.10592791106210009</v>
      </c>
      <c r="AM140" s="130">
        <f>AJ140-AA140</f>
        <v>6862</v>
      </c>
      <c r="AN140" s="134">
        <f>AM140/AA140</f>
        <v>8.7989023811660919E-2</v>
      </c>
      <c r="AO140" s="130">
        <f>SUM(AO138:AO138)</f>
        <v>85227</v>
      </c>
      <c r="AP140" s="108">
        <f>AO140-AA140</f>
        <v>7240</v>
      </c>
      <c r="AQ140" s="131">
        <f>AP140/AA140</f>
        <v>9.2835985484760283E-2</v>
      </c>
      <c r="AR140" s="130">
        <f>SUM(AR138:AR138)</f>
        <v>87638</v>
      </c>
      <c r="AS140" s="132">
        <f>AR140-AA140</f>
        <v>9651</v>
      </c>
      <c r="AT140" s="131">
        <f>AS140/AA140</f>
        <v>0.12375139446317976</v>
      </c>
      <c r="AU140" s="130">
        <f>SUM(AU138:AU138)</f>
        <v>96282</v>
      </c>
      <c r="AV140" s="108">
        <f>AY140</f>
        <v>97899</v>
      </c>
      <c r="AW140" s="108">
        <f>AV140-AO140</f>
        <v>12672</v>
      </c>
      <c r="AX140" s="131">
        <f>AW140/AO140</f>
        <v>0.14868527579288254</v>
      </c>
      <c r="AY140" s="130">
        <f>SUM(AY138:AY138)</f>
        <v>97899</v>
      </c>
      <c r="AZ140" s="108">
        <f>AY140-AO140</f>
        <v>12672</v>
      </c>
      <c r="BA140" s="131">
        <f>AZ140/AO140</f>
        <v>0.14868527579288254</v>
      </c>
      <c r="BB140" s="112">
        <f>+AV140-AY140</f>
        <v>0</v>
      </c>
      <c r="BC140" s="108">
        <f>SUM(BC138:BC138)</f>
        <v>96042</v>
      </c>
      <c r="BD140" s="108">
        <f>BC140-AY140</f>
        <v>-1857</v>
      </c>
      <c r="BE140" s="134">
        <f>BD140/AY140</f>
        <v>-1.8968528789875278E-2</v>
      </c>
      <c r="BF140" s="108">
        <f t="shared" ref="BF140:BO140" si="163">SUM(BF138:BF138)</f>
        <v>93205</v>
      </c>
      <c r="BG140" s="108">
        <f t="shared" si="163"/>
        <v>105076</v>
      </c>
      <c r="BH140" s="108">
        <f t="shared" si="163"/>
        <v>95610</v>
      </c>
      <c r="BI140" s="108">
        <f t="shared" si="163"/>
        <v>123920</v>
      </c>
      <c r="BJ140" s="108">
        <f t="shared" si="163"/>
        <v>118460</v>
      </c>
      <c r="BK140" s="108">
        <f t="shared" si="163"/>
        <v>118460</v>
      </c>
      <c r="BL140" s="108">
        <f t="shared" si="163"/>
        <v>118460</v>
      </c>
      <c r="BM140" s="108">
        <f t="shared" si="163"/>
        <v>105391.59</v>
      </c>
      <c r="BN140" s="108">
        <f t="shared" si="163"/>
        <v>106616</v>
      </c>
      <c r="BO140" s="108">
        <f t="shared" si="163"/>
        <v>14325</v>
      </c>
      <c r="BP140" s="108">
        <f>BN140-BK140</f>
        <v>-11844</v>
      </c>
      <c r="BQ140" s="134">
        <f>BP140/BK140</f>
        <v>-9.9983116663852775E-2</v>
      </c>
      <c r="BS140" s="108">
        <f t="shared" ref="BS140:CF140" si="164">SUM(BS138:BS138)</f>
        <v>106615.02</v>
      </c>
      <c r="BT140" s="108">
        <f t="shared" si="164"/>
        <v>99647</v>
      </c>
      <c r="BU140" s="108">
        <f t="shared" si="164"/>
        <v>94441.85</v>
      </c>
      <c r="BV140" s="108">
        <f t="shared" si="164"/>
        <v>106812</v>
      </c>
      <c r="BW140" s="108">
        <f t="shared" si="164"/>
        <v>111210</v>
      </c>
      <c r="BX140" s="108">
        <f t="shared" si="164"/>
        <v>110872.22</v>
      </c>
      <c r="BY140" s="108">
        <f t="shared" si="164"/>
        <v>111210</v>
      </c>
      <c r="BZ140" s="108">
        <f t="shared" si="164"/>
        <v>93572.25</v>
      </c>
      <c r="CA140" s="108">
        <f t="shared" si="164"/>
        <v>113819.12</v>
      </c>
      <c r="CB140" s="108">
        <f t="shared" si="164"/>
        <v>125381.74</v>
      </c>
      <c r="CC140" s="108">
        <f t="shared" si="164"/>
        <v>134024.78</v>
      </c>
      <c r="CD140" s="108">
        <f t="shared" si="164"/>
        <v>111559.35</v>
      </c>
      <c r="CE140" s="108">
        <f t="shared" si="164"/>
        <v>134024.78</v>
      </c>
      <c r="CF140" s="108">
        <f t="shared" si="164"/>
        <v>139718.56</v>
      </c>
    </row>
    <row r="141" spans="1:84" x14ac:dyDescent="0.4">
      <c r="A141" s="124" t="s">
        <v>134</v>
      </c>
      <c r="B141" s="124"/>
      <c r="C141" s="110"/>
      <c r="D141" s="106"/>
      <c r="E141" s="106"/>
      <c r="F141" s="128"/>
      <c r="G141" s="112"/>
      <c r="H141" s="112"/>
      <c r="I141" s="140"/>
      <c r="N141" s="129"/>
      <c r="R141" s="164"/>
      <c r="S141" s="164"/>
      <c r="T141" s="132"/>
      <c r="U141" s="132"/>
      <c r="V141" s="132"/>
      <c r="W141" s="132"/>
      <c r="X141" s="132"/>
      <c r="Y141" s="130"/>
      <c r="Z141" s="130"/>
      <c r="AA141" s="130"/>
      <c r="AB141" s="132"/>
      <c r="AC141" s="132"/>
      <c r="AU141" s="108"/>
      <c r="AV141" s="108"/>
      <c r="AW141" s="108"/>
      <c r="AX141" s="108"/>
      <c r="AY141" s="108"/>
      <c r="BC141" s="108"/>
      <c r="BF141" s="108"/>
    </row>
    <row r="142" spans="1:84" x14ac:dyDescent="0.4">
      <c r="A142" s="124">
        <v>544</v>
      </c>
      <c r="B142" s="124">
        <f>B138+1</f>
        <v>75</v>
      </c>
      <c r="C142" s="110" t="s">
        <v>366</v>
      </c>
      <c r="D142" s="106">
        <v>1741</v>
      </c>
      <c r="E142" s="106">
        <v>0</v>
      </c>
      <c r="F142" s="128">
        <v>0</v>
      </c>
      <c r="G142" s="128">
        <v>0</v>
      </c>
      <c r="H142" s="128">
        <v>2000</v>
      </c>
      <c r="I142" s="129"/>
      <c r="J142" s="130">
        <v>0</v>
      </c>
      <c r="K142" s="130">
        <v>2000</v>
      </c>
      <c r="L142" s="130">
        <v>2000</v>
      </c>
      <c r="M142" s="130">
        <v>500</v>
      </c>
      <c r="N142" s="129">
        <f>M142-L142</f>
        <v>-1500</v>
      </c>
      <c r="O142" s="138">
        <f>N142/L142</f>
        <v>-0.75</v>
      </c>
      <c r="Q142" s="132">
        <v>0</v>
      </c>
      <c r="R142" s="164">
        <v>0</v>
      </c>
      <c r="S142" s="164">
        <v>500</v>
      </c>
      <c r="T142" s="132">
        <v>0</v>
      </c>
      <c r="U142" s="132">
        <f>S142-R142</f>
        <v>500</v>
      </c>
      <c r="V142" s="132" t="e">
        <f>U142/Q142</f>
        <v>#DIV/0!</v>
      </c>
      <c r="W142" s="132"/>
      <c r="X142" s="132"/>
      <c r="Y142" s="130">
        <f>T142</f>
        <v>0</v>
      </c>
      <c r="Z142" s="130">
        <v>500</v>
      </c>
      <c r="AA142" s="130">
        <v>0</v>
      </c>
      <c r="AB142" s="132">
        <f>Y142-T142</f>
        <v>0</v>
      </c>
      <c r="AC142" s="132">
        <f>T142-S142</f>
        <v>-500</v>
      </c>
      <c r="AD142" s="131" t="e">
        <f>AB142/T142</f>
        <v>#DIV/0!</v>
      </c>
      <c r="AE142" s="133">
        <f>Z142-T142</f>
        <v>500</v>
      </c>
      <c r="AF142" s="131" t="e">
        <f>AE142/T142</f>
        <v>#DIV/0!</v>
      </c>
      <c r="AG142" s="133">
        <f>AA142-T142</f>
        <v>0</v>
      </c>
      <c r="AH142" s="131" t="e">
        <f>AG142/T142</f>
        <v>#DIV/0!</v>
      </c>
      <c r="AI142" s="130">
        <v>500</v>
      </c>
      <c r="AJ142" s="130">
        <v>500</v>
      </c>
      <c r="AK142" s="130">
        <f>AI142-AA142</f>
        <v>500</v>
      </c>
      <c r="AL142" s="134" t="e">
        <f>AK142/AA142</f>
        <v>#DIV/0!</v>
      </c>
      <c r="AM142" s="130">
        <f>AJ142-AA142</f>
        <v>500</v>
      </c>
      <c r="AN142" s="134" t="e">
        <f>AM142/AA142</f>
        <v>#DIV/0!</v>
      </c>
      <c r="AO142" s="108">
        <v>6579</v>
      </c>
      <c r="AP142" s="108">
        <f>AO142-AA142</f>
        <v>6579</v>
      </c>
      <c r="AQ142" s="131" t="e">
        <f>AP142/AA142</f>
        <v>#DIV/0!</v>
      </c>
      <c r="AR142" s="130">
        <v>500</v>
      </c>
      <c r="AS142" s="132">
        <f>AR142-AA142</f>
        <v>500</v>
      </c>
      <c r="AT142" s="131" t="e">
        <f>AS142/AA142</f>
        <v>#DIV/0!</v>
      </c>
      <c r="AU142" s="108">
        <v>500</v>
      </c>
      <c r="AV142" s="108">
        <f>AY142</f>
        <v>9140</v>
      </c>
      <c r="AW142" s="108">
        <f>AV142-AO142</f>
        <v>2561</v>
      </c>
      <c r="AX142" s="131">
        <f>AW142/AO142</f>
        <v>0.38926888584891323</v>
      </c>
      <c r="AY142" s="108">
        <v>9140</v>
      </c>
      <c r="AZ142" s="108">
        <f>AY142-AO142</f>
        <v>2561</v>
      </c>
      <c r="BA142" s="131">
        <f>AZ142/AO142</f>
        <v>0.38926888584891323</v>
      </c>
      <c r="BB142" s="112">
        <f>+AV142-AY142</f>
        <v>0</v>
      </c>
      <c r="BC142" s="108">
        <v>2500</v>
      </c>
      <c r="BD142" s="108">
        <f>BC142-AY142</f>
        <v>-6640</v>
      </c>
      <c r="BE142" s="134">
        <f>BD142/AY142</f>
        <v>-0.7264770240700219</v>
      </c>
      <c r="BF142" s="108">
        <v>0</v>
      </c>
      <c r="BG142" s="108">
        <v>5000</v>
      </c>
      <c r="BH142" s="108">
        <v>12204</v>
      </c>
      <c r="BI142" s="108">
        <v>15000</v>
      </c>
      <c r="BJ142" s="108">
        <v>5000</v>
      </c>
      <c r="BK142" s="108">
        <v>5000</v>
      </c>
      <c r="BL142" s="108">
        <v>7500</v>
      </c>
      <c r="BM142" s="108">
        <v>17830.5</v>
      </c>
      <c r="BN142" s="108">
        <v>5000</v>
      </c>
      <c r="BO142" s="108">
        <v>0</v>
      </c>
      <c r="BP142" s="108">
        <f>BN142-BK142</f>
        <v>0</v>
      </c>
      <c r="BQ142" s="134">
        <f>BP142/BK142</f>
        <v>0</v>
      </c>
      <c r="BR142" s="111">
        <f>BO142-BN142</f>
        <v>-5000</v>
      </c>
      <c r="BS142" s="108">
        <v>36800.42</v>
      </c>
      <c r="BT142" s="108">
        <v>17500</v>
      </c>
      <c r="BU142" s="108">
        <v>56803.79</v>
      </c>
      <c r="BV142" s="108">
        <v>17500</v>
      </c>
      <c r="BW142" s="108">
        <v>50000</v>
      </c>
      <c r="BX142" s="108">
        <v>81154.600000000006</v>
      </c>
      <c r="BY142" s="136">
        <v>100000</v>
      </c>
      <c r="BZ142" s="136">
        <v>85368.8</v>
      </c>
      <c r="CA142" s="136">
        <v>99275</v>
      </c>
      <c r="CB142" s="136">
        <v>99275</v>
      </c>
      <c r="CC142" s="136">
        <f t="shared" ref="CC142:CC145" si="165">CB142</f>
        <v>99275</v>
      </c>
      <c r="CD142" s="136">
        <v>55856.84</v>
      </c>
      <c r="CE142" s="136">
        <f>CC142</f>
        <v>99275</v>
      </c>
      <c r="CF142" s="136">
        <v>99275</v>
      </c>
    </row>
    <row r="143" spans="1:84" x14ac:dyDescent="0.4">
      <c r="A143" s="124">
        <v>543</v>
      </c>
      <c r="B143" s="124">
        <f>B142+1</f>
        <v>76</v>
      </c>
      <c r="C143" s="110" t="s">
        <v>367</v>
      </c>
      <c r="D143" s="106">
        <v>3785</v>
      </c>
      <c r="E143" s="106">
        <v>4400</v>
      </c>
      <c r="F143" s="128">
        <v>4417</v>
      </c>
      <c r="G143" s="128">
        <v>4382</v>
      </c>
      <c r="H143" s="128">
        <v>4492</v>
      </c>
      <c r="I143" s="129"/>
      <c r="J143" s="130">
        <v>4452</v>
      </c>
      <c r="K143" s="130">
        <v>8453</v>
      </c>
      <c r="L143" s="130">
        <v>4376</v>
      </c>
      <c r="M143" s="130">
        <v>4833</v>
      </c>
      <c r="N143" s="129">
        <f>M143-L143</f>
        <v>457</v>
      </c>
      <c r="O143" s="138">
        <f>N143/L143</f>
        <v>0.10443327239488116</v>
      </c>
      <c r="Q143" s="132">
        <v>3624</v>
      </c>
      <c r="R143" s="164">
        <v>3600</v>
      </c>
      <c r="S143" s="164">
        <v>3833</v>
      </c>
      <c r="T143" s="132">
        <v>3600</v>
      </c>
      <c r="U143" s="132">
        <f>S143-R143</f>
        <v>233</v>
      </c>
      <c r="V143" s="132">
        <f>U143/Q143</f>
        <v>6.429359823399558E-2</v>
      </c>
      <c r="W143" s="132"/>
      <c r="X143" s="132"/>
      <c r="Y143" s="130">
        <f>T143</f>
        <v>3600</v>
      </c>
      <c r="Z143" s="130">
        <v>3833</v>
      </c>
      <c r="AA143" s="130">
        <v>3600</v>
      </c>
      <c r="AB143" s="132">
        <f>Y143-T143</f>
        <v>0</v>
      </c>
      <c r="AC143" s="132">
        <f>T143-S143</f>
        <v>-233</v>
      </c>
      <c r="AD143" s="131">
        <f>AB143/T143</f>
        <v>0</v>
      </c>
      <c r="AE143" s="133">
        <f>Z143-T143</f>
        <v>233</v>
      </c>
      <c r="AF143" s="131">
        <f>AE143/T143</f>
        <v>6.4722222222222223E-2</v>
      </c>
      <c r="AG143" s="133">
        <f>AA143-T143</f>
        <v>0</v>
      </c>
      <c r="AH143" s="131">
        <f>AG143/T143</f>
        <v>0</v>
      </c>
      <c r="AI143" s="130">
        <v>3833</v>
      </c>
      <c r="AJ143" s="130">
        <v>3833</v>
      </c>
      <c r="AK143" s="130">
        <f>AI143-AA143</f>
        <v>233</v>
      </c>
      <c r="AL143" s="134">
        <f>AK143/AA143</f>
        <v>6.4722222222222223E-2</v>
      </c>
      <c r="AM143" s="130">
        <f>AJ143-AA143</f>
        <v>233</v>
      </c>
      <c r="AN143" s="134">
        <f>AM143/AA143</f>
        <v>6.4722222222222223E-2</v>
      </c>
      <c r="AO143" s="108">
        <v>3600</v>
      </c>
      <c r="AP143" s="108">
        <f>AO143-AA143</f>
        <v>0</v>
      </c>
      <c r="AQ143" s="131">
        <f>AP143/AA143</f>
        <v>0</v>
      </c>
      <c r="AR143" s="130">
        <v>3833</v>
      </c>
      <c r="AS143" s="132">
        <f>AR143-AA143</f>
        <v>233</v>
      </c>
      <c r="AT143" s="131">
        <f>AS143/AA143</f>
        <v>6.4722222222222223E-2</v>
      </c>
      <c r="AU143" s="108">
        <v>3833</v>
      </c>
      <c r="AV143" s="108">
        <f>AY143</f>
        <v>3624</v>
      </c>
      <c r="AW143" s="108">
        <f>AV143-AO143</f>
        <v>24</v>
      </c>
      <c r="AX143" s="131">
        <f>AW143/AO143</f>
        <v>6.6666666666666671E-3</v>
      </c>
      <c r="AY143" s="108">
        <v>3624</v>
      </c>
      <c r="AZ143" s="108">
        <f>AY143-AO143</f>
        <v>24</v>
      </c>
      <c r="BA143" s="131">
        <f>AZ143/AO143</f>
        <v>6.6666666666666671E-3</v>
      </c>
      <c r="BB143" s="112">
        <f>+AV143-AY143</f>
        <v>0</v>
      </c>
      <c r="BC143" s="108">
        <v>3800</v>
      </c>
      <c r="BD143" s="108">
        <f>BC143-AY143</f>
        <v>176</v>
      </c>
      <c r="BE143" s="134">
        <f>BD143/AY143</f>
        <v>4.856512141280353E-2</v>
      </c>
      <c r="BF143" s="108">
        <v>3624</v>
      </c>
      <c r="BG143" s="108">
        <v>3800</v>
      </c>
      <c r="BH143" s="108">
        <v>3624</v>
      </c>
      <c r="BI143" s="108">
        <v>3800</v>
      </c>
      <c r="BJ143" s="108">
        <v>3800</v>
      </c>
      <c r="BK143" s="108">
        <v>3800</v>
      </c>
      <c r="BL143" s="108">
        <v>4250</v>
      </c>
      <c r="BM143" s="108">
        <v>3759</v>
      </c>
      <c r="BN143" s="108">
        <v>4250</v>
      </c>
      <c r="BO143" s="108">
        <v>0</v>
      </c>
      <c r="BP143" s="108">
        <f>BN143-BK143</f>
        <v>450</v>
      </c>
      <c r="BQ143" s="134">
        <f>BP143/BK143</f>
        <v>0.11842105263157894</v>
      </c>
      <c r="BR143" s="111">
        <f>BO143-BN143</f>
        <v>-4250</v>
      </c>
      <c r="BS143" s="108">
        <v>3659</v>
      </c>
      <c r="BT143" s="108">
        <v>4250</v>
      </c>
      <c r="BU143" s="108">
        <v>4035</v>
      </c>
      <c r="BV143" s="108">
        <v>4250</v>
      </c>
      <c r="BW143" s="108">
        <v>5250</v>
      </c>
      <c r="BX143" s="108">
        <v>4000</v>
      </c>
      <c r="BY143" s="108">
        <f>BW143</f>
        <v>5250</v>
      </c>
      <c r="BZ143" s="108">
        <v>5000</v>
      </c>
      <c r="CA143" s="108">
        <v>5250</v>
      </c>
      <c r="CB143" s="108">
        <v>5250</v>
      </c>
      <c r="CC143" s="136">
        <f t="shared" si="165"/>
        <v>5250</v>
      </c>
      <c r="CD143" s="136">
        <v>5000</v>
      </c>
      <c r="CE143" s="136">
        <f>CC143</f>
        <v>5250</v>
      </c>
      <c r="CF143" s="136">
        <v>5250</v>
      </c>
    </row>
    <row r="144" spans="1:84" x14ac:dyDescent="0.4">
      <c r="A144" s="124">
        <v>545</v>
      </c>
      <c r="B144" s="124">
        <f>B143+1</f>
        <v>77</v>
      </c>
      <c r="C144" s="110" t="s">
        <v>368</v>
      </c>
      <c r="D144" s="106">
        <v>510</v>
      </c>
      <c r="E144" s="106">
        <v>83</v>
      </c>
      <c r="F144" s="128">
        <v>0</v>
      </c>
      <c r="G144" s="128">
        <v>0</v>
      </c>
      <c r="H144" s="128">
        <v>100</v>
      </c>
      <c r="I144" s="129"/>
      <c r="J144" s="130">
        <v>0</v>
      </c>
      <c r="K144" s="130">
        <v>300</v>
      </c>
      <c r="L144" s="130">
        <v>78</v>
      </c>
      <c r="M144" s="130">
        <v>100</v>
      </c>
      <c r="N144" s="129">
        <f>M144-L144</f>
        <v>22</v>
      </c>
      <c r="O144" s="138">
        <f>N144/L144</f>
        <v>0.28205128205128205</v>
      </c>
      <c r="Q144" s="132">
        <v>100</v>
      </c>
      <c r="R144" s="164">
        <v>0</v>
      </c>
      <c r="S144" s="164">
        <v>100</v>
      </c>
      <c r="T144" s="132">
        <v>233</v>
      </c>
      <c r="U144" s="132">
        <f>S144-R144</f>
        <v>100</v>
      </c>
      <c r="V144" s="132">
        <f>U144/Q144</f>
        <v>1</v>
      </c>
      <c r="W144" s="132"/>
      <c r="X144" s="132"/>
      <c r="Y144" s="130">
        <f>T144</f>
        <v>233</v>
      </c>
      <c r="Z144" s="130">
        <v>100</v>
      </c>
      <c r="AA144" s="130">
        <v>0</v>
      </c>
      <c r="AB144" s="132">
        <f>Y144-T144</f>
        <v>0</v>
      </c>
      <c r="AC144" s="132">
        <f>T144-S144</f>
        <v>133</v>
      </c>
      <c r="AD144" s="131">
        <f>AB144/T144</f>
        <v>0</v>
      </c>
      <c r="AE144" s="133">
        <f>Z144-T144</f>
        <v>-133</v>
      </c>
      <c r="AF144" s="131">
        <f>AE144/T144</f>
        <v>-0.57081545064377681</v>
      </c>
      <c r="AG144" s="133">
        <f>AA144-T144</f>
        <v>-233</v>
      </c>
      <c r="AH144" s="131">
        <f>AG144/T144</f>
        <v>-1</v>
      </c>
      <c r="AI144" s="130">
        <v>360</v>
      </c>
      <c r="AJ144" s="130">
        <v>360</v>
      </c>
      <c r="AK144" s="130">
        <f>AI144-AA144</f>
        <v>360</v>
      </c>
      <c r="AL144" s="134" t="e">
        <f>AK144/AA144</f>
        <v>#DIV/0!</v>
      </c>
      <c r="AM144" s="130">
        <f>AJ144-AA144</f>
        <v>360</v>
      </c>
      <c r="AN144" s="134" t="e">
        <f>AM144/AA144</f>
        <v>#DIV/0!</v>
      </c>
      <c r="AO144" s="108">
        <v>0</v>
      </c>
      <c r="AP144" s="108">
        <f>AO144-AA144</f>
        <v>0</v>
      </c>
      <c r="AQ144" s="131" t="e">
        <f>AP144/AA144</f>
        <v>#DIV/0!</v>
      </c>
      <c r="AR144" s="130">
        <v>360</v>
      </c>
      <c r="AS144" s="132">
        <f>AR144-AA144</f>
        <v>360</v>
      </c>
      <c r="AT144" s="131" t="e">
        <f>AS144/AA144</f>
        <v>#DIV/0!</v>
      </c>
      <c r="AU144" s="108">
        <v>360</v>
      </c>
      <c r="AV144" s="108">
        <f>AY144</f>
        <v>0</v>
      </c>
      <c r="AW144" s="108">
        <f>AV144-AO144</f>
        <v>0</v>
      </c>
      <c r="AX144" s="131" t="e">
        <f>AW144/AO144</f>
        <v>#DIV/0!</v>
      </c>
      <c r="AY144" s="108">
        <v>0</v>
      </c>
      <c r="AZ144" s="108">
        <f>AY144-AO144</f>
        <v>0</v>
      </c>
      <c r="BA144" s="131" t="e">
        <f>AZ144/AO144</f>
        <v>#DIV/0!</v>
      </c>
      <c r="BB144" s="112">
        <f>+AV144-AY144</f>
        <v>0</v>
      </c>
      <c r="BC144" s="108">
        <v>360</v>
      </c>
      <c r="BD144" s="108">
        <f>BC144-AY144</f>
        <v>360</v>
      </c>
      <c r="BE144" s="134" t="e">
        <f>BD144/AY144</f>
        <v>#DIV/0!</v>
      </c>
      <c r="BF144" s="108">
        <v>251</v>
      </c>
      <c r="BG144" s="108">
        <v>360</v>
      </c>
      <c r="BH144" s="108">
        <v>0</v>
      </c>
      <c r="BI144" s="108">
        <v>360</v>
      </c>
      <c r="BJ144" s="108">
        <v>360</v>
      </c>
      <c r="BK144" s="108">
        <v>360</v>
      </c>
      <c r="BL144" s="108">
        <v>360</v>
      </c>
      <c r="BM144" s="108">
        <v>0</v>
      </c>
      <c r="BN144" s="108">
        <v>360</v>
      </c>
      <c r="BO144" s="108">
        <v>0</v>
      </c>
      <c r="BP144" s="108">
        <f>BN144-BK144</f>
        <v>0</v>
      </c>
      <c r="BQ144" s="134">
        <f>BP144/BK144</f>
        <v>0</v>
      </c>
      <c r="BR144" s="111">
        <f>BO144-BN144</f>
        <v>-360</v>
      </c>
      <c r="BS144" s="108">
        <v>0</v>
      </c>
      <c r="BT144" s="108">
        <v>360</v>
      </c>
      <c r="BU144" s="108">
        <v>140.72</v>
      </c>
      <c r="BV144" s="108">
        <v>400</v>
      </c>
      <c r="BW144" s="108">
        <v>500</v>
      </c>
      <c r="BX144" s="108">
        <v>400</v>
      </c>
      <c r="BY144" s="108">
        <f>BW144</f>
        <v>500</v>
      </c>
      <c r="BZ144" s="108">
        <v>297.12</v>
      </c>
      <c r="CA144" s="108">
        <v>500</v>
      </c>
      <c r="CB144" s="108">
        <v>500</v>
      </c>
      <c r="CC144" s="136">
        <f t="shared" si="165"/>
        <v>500</v>
      </c>
      <c r="CD144" s="136">
        <v>71.94</v>
      </c>
      <c r="CE144" s="136">
        <f>CC144</f>
        <v>500</v>
      </c>
      <c r="CF144" s="136">
        <v>500</v>
      </c>
    </row>
    <row r="145" spans="1:84" x14ac:dyDescent="0.4">
      <c r="A145" s="124">
        <f>A144+1</f>
        <v>546</v>
      </c>
      <c r="B145" s="124">
        <f>B144+1</f>
        <v>78</v>
      </c>
      <c r="C145" s="110" t="s">
        <v>369</v>
      </c>
      <c r="D145" s="106">
        <v>120</v>
      </c>
      <c r="E145" s="106">
        <v>120</v>
      </c>
      <c r="F145" s="128">
        <v>110</v>
      </c>
      <c r="G145" s="128">
        <v>301</v>
      </c>
      <c r="H145" s="128">
        <v>359</v>
      </c>
      <c r="I145" s="129"/>
      <c r="J145" s="130">
        <v>359</v>
      </c>
      <c r="K145" s="130">
        <f>J145</f>
        <v>359</v>
      </c>
      <c r="L145" s="130">
        <v>318</v>
      </c>
      <c r="M145" s="130">
        <v>360</v>
      </c>
      <c r="N145" s="129">
        <f>M145-L145</f>
        <v>42</v>
      </c>
      <c r="O145" s="138">
        <f>N145/L145</f>
        <v>0.13207547169811321</v>
      </c>
      <c r="Q145" s="132">
        <v>379.1</v>
      </c>
      <c r="R145" s="164">
        <v>522.70000000000005</v>
      </c>
      <c r="S145" s="164">
        <v>360</v>
      </c>
      <c r="T145" s="132">
        <v>279</v>
      </c>
      <c r="U145" s="132">
        <f>S145-R145</f>
        <v>-162.70000000000005</v>
      </c>
      <c r="V145" s="132">
        <f>U145/Q145</f>
        <v>-0.42917436032709055</v>
      </c>
      <c r="W145" s="132"/>
      <c r="X145" s="132"/>
      <c r="Y145" s="130">
        <v>1200</v>
      </c>
      <c r="Z145" s="130">
        <v>1200</v>
      </c>
      <c r="AA145" s="130">
        <v>653</v>
      </c>
      <c r="AB145" s="132">
        <f>Y145-T145</f>
        <v>921</v>
      </c>
      <c r="AC145" s="132">
        <f>T145-S145</f>
        <v>-81</v>
      </c>
      <c r="AD145" s="131">
        <f>AB145/T145</f>
        <v>3.3010752688172045</v>
      </c>
      <c r="AE145" s="133">
        <f>Z145-T145</f>
        <v>921</v>
      </c>
      <c r="AF145" s="131">
        <f>AE145/T145</f>
        <v>3.3010752688172045</v>
      </c>
      <c r="AG145" s="133">
        <f>AA145-T145</f>
        <v>374</v>
      </c>
      <c r="AH145" s="131">
        <f>AG145/T145</f>
        <v>1.3405017921146953</v>
      </c>
      <c r="AI145" s="130">
        <v>750</v>
      </c>
      <c r="AJ145" s="130">
        <v>750</v>
      </c>
      <c r="AK145" s="130">
        <f>AI145-AA145</f>
        <v>97</v>
      </c>
      <c r="AL145" s="134">
        <f>AK145/AA145</f>
        <v>0.14854517611026033</v>
      </c>
      <c r="AM145" s="130">
        <f>AJ145-AA145</f>
        <v>97</v>
      </c>
      <c r="AN145" s="134">
        <f>AM145/AA145</f>
        <v>0.14854517611026033</v>
      </c>
      <c r="AO145" s="108">
        <v>549</v>
      </c>
      <c r="AP145" s="108">
        <f>AO145-AA145</f>
        <v>-104</v>
      </c>
      <c r="AQ145" s="131">
        <f>AP145/AA145</f>
        <v>-0.15926493108728942</v>
      </c>
      <c r="AR145" s="130">
        <v>750</v>
      </c>
      <c r="AS145" s="132">
        <f>AR145-AA145</f>
        <v>97</v>
      </c>
      <c r="AT145" s="131">
        <f>AS145/AA145</f>
        <v>0.14854517611026033</v>
      </c>
      <c r="AU145" s="108">
        <v>750</v>
      </c>
      <c r="AV145" s="108">
        <f>AY145</f>
        <v>462</v>
      </c>
      <c r="AW145" s="108">
        <f>AV145-AO145</f>
        <v>-87</v>
      </c>
      <c r="AX145" s="131">
        <f>AW145/AO145</f>
        <v>-0.15846994535519127</v>
      </c>
      <c r="AY145" s="108">
        <v>462</v>
      </c>
      <c r="AZ145" s="108">
        <f>AY145-AO145</f>
        <v>-87</v>
      </c>
      <c r="BA145" s="131">
        <f>AZ145/AO145</f>
        <v>-0.15846994535519127</v>
      </c>
      <c r="BB145" s="112">
        <f>+AV145-AY145</f>
        <v>0</v>
      </c>
      <c r="BC145" s="108">
        <v>750</v>
      </c>
      <c r="BD145" s="108">
        <f>BC145-AY145</f>
        <v>288</v>
      </c>
      <c r="BE145" s="134">
        <f>BD145/AY145</f>
        <v>0.62337662337662336</v>
      </c>
      <c r="BF145" s="108">
        <v>444</v>
      </c>
      <c r="BG145" s="108">
        <v>750</v>
      </c>
      <c r="BH145" s="108">
        <v>610</v>
      </c>
      <c r="BI145" s="108">
        <v>750</v>
      </c>
      <c r="BJ145" s="108">
        <v>750</v>
      </c>
      <c r="BK145" s="108">
        <v>750</v>
      </c>
      <c r="BL145" s="108">
        <v>750</v>
      </c>
      <c r="BM145" s="108">
        <v>655.20000000000005</v>
      </c>
      <c r="BN145" s="108">
        <v>750</v>
      </c>
      <c r="BO145" s="108">
        <v>0</v>
      </c>
      <c r="BP145" s="108">
        <f>BN145-BK145</f>
        <v>0</v>
      </c>
      <c r="BQ145" s="134">
        <f>BP145/BK145</f>
        <v>0</v>
      </c>
      <c r="BR145" s="111">
        <f>BO145-BN145</f>
        <v>-750</v>
      </c>
      <c r="BS145" s="108">
        <v>592.24</v>
      </c>
      <c r="BT145" s="108">
        <v>750</v>
      </c>
      <c r="BU145" s="108">
        <v>750</v>
      </c>
      <c r="BV145" s="108">
        <v>750</v>
      </c>
      <c r="BW145" s="108">
        <v>750</v>
      </c>
      <c r="BX145" s="108">
        <v>272.69</v>
      </c>
      <c r="BY145" s="108">
        <f>BW145</f>
        <v>750</v>
      </c>
      <c r="BZ145" s="108">
        <v>70</v>
      </c>
      <c r="CA145" s="108">
        <v>750</v>
      </c>
      <c r="CB145" s="108">
        <v>750</v>
      </c>
      <c r="CC145" s="136">
        <f t="shared" si="165"/>
        <v>750</v>
      </c>
      <c r="CD145" s="136">
        <v>115.97</v>
      </c>
      <c r="CE145" s="136">
        <f>CC145</f>
        <v>750</v>
      </c>
      <c r="CF145" s="136">
        <v>750</v>
      </c>
    </row>
    <row r="146" spans="1:84" x14ac:dyDescent="0.4">
      <c r="A146" s="124" t="s">
        <v>134</v>
      </c>
      <c r="B146" s="124"/>
      <c r="C146" s="110"/>
      <c r="D146" s="106"/>
      <c r="E146" s="106"/>
      <c r="F146" s="128"/>
      <c r="G146" s="112"/>
      <c r="H146" s="112"/>
      <c r="I146" s="140"/>
      <c r="J146" s="140"/>
      <c r="K146" s="140"/>
      <c r="L146" s="140"/>
      <c r="M146" s="140"/>
      <c r="N146" s="129"/>
      <c r="O146" s="175"/>
      <c r="R146" s="164"/>
      <c r="S146" s="164"/>
      <c r="T146" s="132"/>
      <c r="U146" s="132"/>
      <c r="V146" s="132"/>
      <c r="W146" s="132"/>
      <c r="X146" s="132"/>
      <c r="Y146" s="130"/>
      <c r="Z146" s="130"/>
      <c r="AA146" s="130"/>
      <c r="AB146" s="132">
        <f>Y146-T146</f>
        <v>0</v>
      </c>
      <c r="AC146" s="132"/>
      <c r="AU146" s="108"/>
      <c r="AV146" s="108"/>
      <c r="AW146" s="108"/>
      <c r="AX146" s="108"/>
      <c r="AY146" s="108"/>
      <c r="BC146" s="108"/>
      <c r="BF146" s="108"/>
    </row>
    <row r="147" spans="1:84" s="200" customFormat="1" x14ac:dyDescent="0.4">
      <c r="A147" s="124" t="s">
        <v>134</v>
      </c>
      <c r="B147" s="124"/>
      <c r="C147" s="176" t="s">
        <v>370</v>
      </c>
      <c r="D147" s="132">
        <f>SUM(D142:D146)</f>
        <v>6156</v>
      </c>
      <c r="E147" s="132">
        <f>SUM(E142:E146)</f>
        <v>4603</v>
      </c>
      <c r="F147" s="132">
        <f>SUM(F142:F146)</f>
        <v>4527</v>
      </c>
      <c r="G147" s="132">
        <f>SUM(G142:G146)</f>
        <v>4683</v>
      </c>
      <c r="H147" s="132">
        <f>SUM(H142:H146)</f>
        <v>6951</v>
      </c>
      <c r="I147" s="132" t="e">
        <f>#REF!-G147</f>
        <v>#REF!</v>
      </c>
      <c r="J147" s="132">
        <f>SUM(J142:J146)</f>
        <v>4811</v>
      </c>
      <c r="K147" s="132">
        <f>SUM(K142:K146)</f>
        <v>11112</v>
      </c>
      <c r="L147" s="132">
        <f>SUM(L142:L146)</f>
        <v>6772</v>
      </c>
      <c r="M147" s="132">
        <f>SUM(M142:M146)</f>
        <v>5793</v>
      </c>
      <c r="N147" s="129">
        <f>M147-L147</f>
        <v>-979</v>
      </c>
      <c r="O147" s="131">
        <f>N147/L147</f>
        <v>-0.14456585942114589</v>
      </c>
      <c r="Q147" s="132">
        <f t="shared" ref="Q147:AJ147" si="166">SUM(Q142:Q146)</f>
        <v>4103.1000000000004</v>
      </c>
      <c r="R147" s="164">
        <f t="shared" si="166"/>
        <v>4122.7</v>
      </c>
      <c r="S147" s="164">
        <f t="shared" si="166"/>
        <v>4793</v>
      </c>
      <c r="T147" s="132">
        <f t="shared" si="166"/>
        <v>4112</v>
      </c>
      <c r="U147" s="132">
        <f t="shared" si="166"/>
        <v>670.3</v>
      </c>
      <c r="V147" s="132" t="e">
        <f t="shared" si="166"/>
        <v>#DIV/0!</v>
      </c>
      <c r="W147" s="132">
        <f t="shared" si="166"/>
        <v>0</v>
      </c>
      <c r="X147" s="132">
        <f t="shared" si="166"/>
        <v>0</v>
      </c>
      <c r="Y147" s="130">
        <f t="shared" si="166"/>
        <v>5033</v>
      </c>
      <c r="Z147" s="130">
        <f t="shared" si="166"/>
        <v>5633</v>
      </c>
      <c r="AA147" s="130">
        <f t="shared" si="166"/>
        <v>4253</v>
      </c>
      <c r="AB147" s="130">
        <f t="shared" si="166"/>
        <v>921</v>
      </c>
      <c r="AC147" s="130">
        <f t="shared" si="166"/>
        <v>-681</v>
      </c>
      <c r="AD147" s="130" t="e">
        <f t="shared" si="166"/>
        <v>#DIV/0!</v>
      </c>
      <c r="AE147" s="130">
        <f t="shared" si="166"/>
        <v>1521</v>
      </c>
      <c r="AF147" s="130" t="e">
        <f t="shared" si="166"/>
        <v>#DIV/0!</v>
      </c>
      <c r="AG147" s="130">
        <f t="shared" si="166"/>
        <v>141</v>
      </c>
      <c r="AH147" s="130" t="e">
        <f t="shared" si="166"/>
        <v>#DIV/0!</v>
      </c>
      <c r="AI147" s="130">
        <f t="shared" si="166"/>
        <v>5443</v>
      </c>
      <c r="AJ147" s="130">
        <f t="shared" si="166"/>
        <v>5443</v>
      </c>
      <c r="AK147" s="130">
        <f>AI147-AA147</f>
        <v>1190</v>
      </c>
      <c r="AL147" s="134">
        <f>AK147/AA147</f>
        <v>0.27980249235833532</v>
      </c>
      <c r="AM147" s="130">
        <f>AJ147-AA147</f>
        <v>1190</v>
      </c>
      <c r="AN147" s="134">
        <f>AM147/AA147</f>
        <v>0.27980249235833532</v>
      </c>
      <c r="AO147" s="130">
        <f>SUM(AO142:AO146)</f>
        <v>10728</v>
      </c>
      <c r="AP147" s="108">
        <f>AO147-AA147</f>
        <v>6475</v>
      </c>
      <c r="AQ147" s="131">
        <f>AP147/AA147</f>
        <v>1.5224547378321185</v>
      </c>
      <c r="AR147" s="130">
        <f>SUM(AR142:AR146)</f>
        <v>5443</v>
      </c>
      <c r="AS147" s="132">
        <f>AR147-AA147</f>
        <v>1190</v>
      </c>
      <c r="AT147" s="131">
        <f>AS147/AA147</f>
        <v>0.27980249235833532</v>
      </c>
      <c r="AU147" s="130">
        <f>SUM(AU142:AU146)</f>
        <v>5443</v>
      </c>
      <c r="AV147" s="108">
        <f>AY147</f>
        <v>13226</v>
      </c>
      <c r="AW147" s="108">
        <f>AV147-AO147</f>
        <v>2498</v>
      </c>
      <c r="AX147" s="131">
        <f>AW147/AO147</f>
        <v>0.23284862043251306</v>
      </c>
      <c r="AY147" s="130">
        <f>SUM(AY142:AY146)</f>
        <v>13226</v>
      </c>
      <c r="AZ147" s="108">
        <f>AY147-AO147</f>
        <v>2498</v>
      </c>
      <c r="BA147" s="131">
        <f>AZ147/AO147</f>
        <v>0.23284862043251306</v>
      </c>
      <c r="BB147" s="112">
        <f>+AV147-AY147</f>
        <v>0</v>
      </c>
      <c r="BC147" s="108">
        <f>SUM(BC142:BC146)</f>
        <v>7410</v>
      </c>
      <c r="BD147" s="108">
        <f>BC147-AY147</f>
        <v>-5816</v>
      </c>
      <c r="BE147" s="134">
        <f>BD147/AY147</f>
        <v>-0.43973990624527448</v>
      </c>
      <c r="BF147" s="108">
        <f t="shared" ref="BF147:BO147" si="167">SUM(BF142:BF146)</f>
        <v>4319</v>
      </c>
      <c r="BG147" s="108">
        <f t="shared" si="167"/>
        <v>9910</v>
      </c>
      <c r="BH147" s="108">
        <f t="shared" si="167"/>
        <v>16438</v>
      </c>
      <c r="BI147" s="108">
        <f t="shared" si="167"/>
        <v>19910</v>
      </c>
      <c r="BJ147" s="108">
        <f t="shared" si="167"/>
        <v>9910</v>
      </c>
      <c r="BK147" s="108">
        <f t="shared" si="167"/>
        <v>9910</v>
      </c>
      <c r="BL147" s="108">
        <f t="shared" si="167"/>
        <v>12860</v>
      </c>
      <c r="BM147" s="108">
        <f t="shared" si="167"/>
        <v>22244.7</v>
      </c>
      <c r="BN147" s="108">
        <f t="shared" si="167"/>
        <v>10360</v>
      </c>
      <c r="BO147" s="108">
        <f t="shared" si="167"/>
        <v>0</v>
      </c>
      <c r="BP147" s="108">
        <f>BN147-BK147</f>
        <v>450</v>
      </c>
      <c r="BQ147" s="134">
        <f>BP147/BK147</f>
        <v>4.5408678102926335E-2</v>
      </c>
      <c r="BS147" s="108">
        <f t="shared" ref="BS147:CF147" si="168">SUM(BS142:BS146)</f>
        <v>41051.659999999996</v>
      </c>
      <c r="BT147" s="108">
        <f t="shared" si="168"/>
        <v>22860</v>
      </c>
      <c r="BU147" s="108">
        <f t="shared" si="168"/>
        <v>61729.51</v>
      </c>
      <c r="BV147" s="108">
        <f t="shared" si="168"/>
        <v>22900</v>
      </c>
      <c r="BW147" s="108">
        <f t="shared" si="168"/>
        <v>56500</v>
      </c>
      <c r="BX147" s="108">
        <f t="shared" si="168"/>
        <v>85827.290000000008</v>
      </c>
      <c r="BY147" s="108">
        <f t="shared" si="168"/>
        <v>106500</v>
      </c>
      <c r="BZ147" s="108">
        <f t="shared" si="168"/>
        <v>90735.92</v>
      </c>
      <c r="CA147" s="108">
        <f t="shared" si="168"/>
        <v>105775</v>
      </c>
      <c r="CB147" s="108">
        <f t="shared" si="168"/>
        <v>105775</v>
      </c>
      <c r="CC147" s="108">
        <f t="shared" si="168"/>
        <v>105775</v>
      </c>
      <c r="CD147" s="108">
        <f t="shared" si="168"/>
        <v>61044.75</v>
      </c>
      <c r="CE147" s="108">
        <f t="shared" si="168"/>
        <v>105775</v>
      </c>
      <c r="CF147" s="108">
        <f t="shared" si="168"/>
        <v>105775</v>
      </c>
    </row>
    <row r="148" spans="1:84" s="200" customFormat="1" x14ac:dyDescent="0.4">
      <c r="A148" s="124" t="s">
        <v>134</v>
      </c>
      <c r="B148" s="124"/>
      <c r="C148" s="110"/>
      <c r="D148" s="106"/>
      <c r="E148" s="106"/>
      <c r="F148" s="128"/>
      <c r="G148" s="201"/>
      <c r="H148" s="201"/>
      <c r="I148" s="140"/>
      <c r="N148" s="129"/>
      <c r="R148" s="164"/>
      <c r="S148" s="164"/>
      <c r="T148" s="132"/>
      <c r="U148" s="132"/>
      <c r="V148" s="132"/>
      <c r="W148" s="132"/>
      <c r="X148" s="132"/>
      <c r="Y148" s="130"/>
      <c r="Z148" s="130"/>
      <c r="AA148" s="130"/>
      <c r="AB148" s="132"/>
      <c r="AC148" s="132"/>
      <c r="AU148" s="108"/>
      <c r="AV148" s="108"/>
      <c r="AW148" s="108"/>
      <c r="AX148" s="108"/>
      <c r="AY148" s="108"/>
      <c r="BB148" s="201"/>
      <c r="BC148" s="108"/>
      <c r="BF148" s="108"/>
      <c r="BS148" s="108"/>
    </row>
    <row r="149" spans="1:84" s="200" customFormat="1" x14ac:dyDescent="0.4">
      <c r="A149" s="124" t="s">
        <v>134</v>
      </c>
      <c r="B149" s="124"/>
      <c r="C149" s="176" t="s">
        <v>371</v>
      </c>
      <c r="D149" s="132">
        <f>D147+D140</f>
        <v>50278</v>
      </c>
      <c r="E149" s="132">
        <f>E147+E140</f>
        <v>58943</v>
      </c>
      <c r="F149" s="132">
        <f>F147+F140</f>
        <v>59827</v>
      </c>
      <c r="G149" s="132">
        <f>G147+G140</f>
        <v>66221</v>
      </c>
      <c r="H149" s="132">
        <f>H147+H140</f>
        <v>69380</v>
      </c>
      <c r="I149" s="166" t="e">
        <f>#REF!-G149</f>
        <v>#REF!</v>
      </c>
      <c r="J149" s="132">
        <f>J147+J140</f>
        <v>69030</v>
      </c>
      <c r="K149" s="132">
        <f>K147+K140</f>
        <v>84778</v>
      </c>
      <c r="L149" s="132">
        <f>L147+L140</f>
        <v>66484</v>
      </c>
      <c r="M149" s="132">
        <f>M147+M140</f>
        <v>66384</v>
      </c>
      <c r="N149" s="129">
        <f>M149-L149</f>
        <v>-100</v>
      </c>
      <c r="O149" s="131">
        <f>N149/L149</f>
        <v>-1.5041212923410144E-3</v>
      </c>
      <c r="Q149" s="132">
        <f t="shared" ref="Q149:AJ149" si="169">Q147+Q140</f>
        <v>62470.6</v>
      </c>
      <c r="R149" s="164">
        <f t="shared" si="169"/>
        <v>64557.06</v>
      </c>
      <c r="S149" s="164">
        <f t="shared" si="169"/>
        <v>82217</v>
      </c>
      <c r="T149" s="132">
        <f t="shared" si="169"/>
        <v>80641</v>
      </c>
      <c r="U149" s="132">
        <f t="shared" si="169"/>
        <v>17659.939999999999</v>
      </c>
      <c r="V149" s="132" t="e">
        <f t="shared" si="169"/>
        <v>#DIV/0!</v>
      </c>
      <c r="W149" s="132">
        <f t="shared" si="169"/>
        <v>0</v>
      </c>
      <c r="X149" s="132">
        <f t="shared" si="169"/>
        <v>0</v>
      </c>
      <c r="Y149" s="130">
        <f t="shared" si="169"/>
        <v>88599</v>
      </c>
      <c r="Z149" s="130">
        <f t="shared" si="169"/>
        <v>88829</v>
      </c>
      <c r="AA149" s="130">
        <f t="shared" si="169"/>
        <v>82240</v>
      </c>
      <c r="AB149" s="130">
        <f t="shared" si="169"/>
        <v>7958</v>
      </c>
      <c r="AC149" s="130">
        <f t="shared" si="169"/>
        <v>-1576</v>
      </c>
      <c r="AD149" s="130" t="e">
        <f t="shared" si="169"/>
        <v>#DIV/0!</v>
      </c>
      <c r="AE149" s="130">
        <f t="shared" si="169"/>
        <v>8188</v>
      </c>
      <c r="AF149" s="130" t="e">
        <f t="shared" si="169"/>
        <v>#DIV/0!</v>
      </c>
      <c r="AG149" s="130">
        <f t="shared" si="169"/>
        <v>1599</v>
      </c>
      <c r="AH149" s="130" t="e">
        <f t="shared" si="169"/>
        <v>#DIV/0!</v>
      </c>
      <c r="AI149" s="130">
        <f t="shared" si="169"/>
        <v>91691</v>
      </c>
      <c r="AJ149" s="130">
        <f t="shared" si="169"/>
        <v>90292</v>
      </c>
      <c r="AK149" s="130">
        <f>AI149-AA149</f>
        <v>9451</v>
      </c>
      <c r="AL149" s="134">
        <f>AK149/AA149</f>
        <v>0.11491974708171206</v>
      </c>
      <c r="AM149" s="130">
        <f>AJ149-AA149</f>
        <v>8052</v>
      </c>
      <c r="AN149" s="134">
        <f>AM149/AA149</f>
        <v>9.7908560311284046E-2</v>
      </c>
      <c r="AO149" s="130">
        <f>AO147+AO140</f>
        <v>95955</v>
      </c>
      <c r="AP149" s="108">
        <f>AO149-AA149</f>
        <v>13715</v>
      </c>
      <c r="AQ149" s="131">
        <f>AP149/AA149</f>
        <v>0.16676799610894941</v>
      </c>
      <c r="AR149" s="130">
        <f>AR147+AR140</f>
        <v>93081</v>
      </c>
      <c r="AS149" s="132">
        <f>AR149-AA149</f>
        <v>10841</v>
      </c>
      <c r="AT149" s="131">
        <f>AS149/AA149</f>
        <v>0.13182149805447471</v>
      </c>
      <c r="AU149" s="130">
        <f>AU147+AU140</f>
        <v>101725</v>
      </c>
      <c r="AV149" s="108">
        <f>AY149</f>
        <v>111125</v>
      </c>
      <c r="AW149" s="108">
        <f>AV149-AO149</f>
        <v>15170</v>
      </c>
      <c r="AX149" s="131">
        <f>AW149/AO149</f>
        <v>0.15809494033661611</v>
      </c>
      <c r="AY149" s="130">
        <f>AY147+AY140</f>
        <v>111125</v>
      </c>
      <c r="AZ149" s="108">
        <f>AY149-AO149</f>
        <v>15170</v>
      </c>
      <c r="BA149" s="131">
        <f>AZ149/AO149</f>
        <v>0.15809494033661611</v>
      </c>
      <c r="BB149" s="112">
        <f>+AV149-AY149</f>
        <v>0</v>
      </c>
      <c r="BC149" s="108">
        <f>BC147+BC140</f>
        <v>103452</v>
      </c>
      <c r="BD149" s="108">
        <f>BC149-AY149</f>
        <v>-7673</v>
      </c>
      <c r="BE149" s="134">
        <f>BD149/AY149</f>
        <v>-6.9048368953880765E-2</v>
      </c>
      <c r="BF149" s="108">
        <f t="shared" ref="BF149:BO149" si="170">BF147+BF140</f>
        <v>97524</v>
      </c>
      <c r="BG149" s="108">
        <f t="shared" si="170"/>
        <v>114986</v>
      </c>
      <c r="BH149" s="108">
        <f t="shared" si="170"/>
        <v>112048</v>
      </c>
      <c r="BI149" s="108">
        <f t="shared" si="170"/>
        <v>143830</v>
      </c>
      <c r="BJ149" s="108">
        <f t="shared" si="170"/>
        <v>128370</v>
      </c>
      <c r="BK149" s="108">
        <f t="shared" si="170"/>
        <v>128370</v>
      </c>
      <c r="BL149" s="108">
        <f t="shared" si="170"/>
        <v>131320</v>
      </c>
      <c r="BM149" s="108">
        <f t="shared" si="170"/>
        <v>127636.29</v>
      </c>
      <c r="BN149" s="108">
        <f t="shared" si="170"/>
        <v>116976</v>
      </c>
      <c r="BO149" s="108">
        <f t="shared" si="170"/>
        <v>14325</v>
      </c>
      <c r="BP149" s="108">
        <f>BN149-BK149</f>
        <v>-11394</v>
      </c>
      <c r="BQ149" s="134">
        <f>BP149/BK149</f>
        <v>-8.8759055854171529E-2</v>
      </c>
      <c r="BS149" s="108">
        <f t="shared" ref="BS149:CF149" si="171">BS147+BS140</f>
        <v>147666.68</v>
      </c>
      <c r="BT149" s="108">
        <f t="shared" si="171"/>
        <v>122507</v>
      </c>
      <c r="BU149" s="108">
        <f t="shared" si="171"/>
        <v>156171.36000000002</v>
      </c>
      <c r="BV149" s="108">
        <f t="shared" si="171"/>
        <v>129712</v>
      </c>
      <c r="BW149" s="108">
        <f t="shared" si="171"/>
        <v>167710</v>
      </c>
      <c r="BX149" s="108">
        <f t="shared" si="171"/>
        <v>196699.51</v>
      </c>
      <c r="BY149" s="108">
        <f t="shared" si="171"/>
        <v>217710</v>
      </c>
      <c r="BZ149" s="108">
        <f t="shared" si="171"/>
        <v>184308.16999999998</v>
      </c>
      <c r="CA149" s="108">
        <f t="shared" si="171"/>
        <v>219594.12</v>
      </c>
      <c r="CB149" s="108">
        <f t="shared" si="171"/>
        <v>231156.74</v>
      </c>
      <c r="CC149" s="108">
        <f t="shared" si="171"/>
        <v>239799.78</v>
      </c>
      <c r="CD149" s="108">
        <f t="shared" si="171"/>
        <v>172604.1</v>
      </c>
      <c r="CE149" s="108">
        <f t="shared" si="171"/>
        <v>239799.78</v>
      </c>
      <c r="CF149" s="108">
        <f t="shared" si="171"/>
        <v>245493.56</v>
      </c>
    </row>
    <row r="150" spans="1:84" s="200" customFormat="1" x14ac:dyDescent="0.4">
      <c r="A150" s="124" t="s">
        <v>134</v>
      </c>
      <c r="B150" s="124"/>
      <c r="C150" s="110"/>
      <c r="D150" s="106"/>
      <c r="E150" s="106"/>
      <c r="F150" s="128"/>
      <c r="G150" s="201"/>
      <c r="H150" s="201"/>
      <c r="I150" s="140"/>
      <c r="N150" s="129"/>
      <c r="T150" s="132"/>
      <c r="U150" s="132"/>
      <c r="V150" s="132"/>
      <c r="W150" s="132"/>
      <c r="X150" s="132"/>
      <c r="Y150" s="130"/>
      <c r="Z150" s="130"/>
      <c r="AA150" s="130"/>
      <c r="AB150" s="132"/>
      <c r="AC150" s="132"/>
      <c r="AU150" s="108"/>
      <c r="AV150" s="108"/>
      <c r="AW150" s="108"/>
      <c r="AX150" s="108"/>
      <c r="AY150" s="108"/>
      <c r="BB150" s="201"/>
      <c r="BC150" s="108"/>
      <c r="BF150" s="108"/>
      <c r="BS150" s="108"/>
    </row>
    <row r="151" spans="1:84" s="200" customFormat="1" x14ac:dyDescent="0.4">
      <c r="A151" s="124" t="s">
        <v>134</v>
      </c>
      <c r="B151" s="124"/>
      <c r="C151" s="180" t="s">
        <v>372</v>
      </c>
      <c r="D151" s="202"/>
      <c r="E151" s="202"/>
      <c r="F151" s="203"/>
      <c r="G151" s="204"/>
      <c r="H151" s="204"/>
      <c r="I151" s="205"/>
      <c r="J151" s="206"/>
      <c r="K151" s="206"/>
      <c r="L151" s="206"/>
      <c r="M151" s="206"/>
      <c r="N151" s="207"/>
      <c r="O151" s="206"/>
      <c r="P151" s="206"/>
      <c r="Q151" s="206"/>
      <c r="R151" s="206"/>
      <c r="S151" s="206"/>
      <c r="T151" s="208"/>
      <c r="U151" s="208"/>
      <c r="V151" s="208"/>
      <c r="W151" s="208"/>
      <c r="X151" s="208"/>
      <c r="Y151" s="209"/>
      <c r="Z151" s="209"/>
      <c r="AA151" s="209"/>
      <c r="AB151" s="208"/>
      <c r="AC151" s="208"/>
      <c r="AD151" s="206"/>
      <c r="AE151" s="206"/>
      <c r="AF151" s="206"/>
      <c r="AG151" s="206"/>
      <c r="AH151" s="206"/>
      <c r="AI151" s="206"/>
      <c r="AJ151" s="206"/>
      <c r="AK151" s="206"/>
      <c r="AL151" s="206"/>
      <c r="AM151" s="206"/>
      <c r="AN151" s="210"/>
      <c r="AO151" s="211"/>
      <c r="AP151" s="212"/>
      <c r="AQ151" s="212"/>
      <c r="AU151" s="108"/>
      <c r="AV151" s="108"/>
      <c r="AW151" s="108"/>
      <c r="AX151" s="108"/>
      <c r="AY151" s="108"/>
      <c r="AZ151" s="212"/>
      <c r="BA151" s="212"/>
      <c r="BB151" s="201"/>
      <c r="BC151" s="108"/>
      <c r="BF151" s="108"/>
      <c r="BS151" s="108"/>
    </row>
    <row r="152" spans="1:84" x14ac:dyDescent="0.4">
      <c r="A152" s="124">
        <v>300</v>
      </c>
      <c r="B152" s="124">
        <f>B145+1</f>
        <v>79</v>
      </c>
      <c r="C152" s="110" t="s">
        <v>373</v>
      </c>
      <c r="D152" s="213">
        <v>7716502</v>
      </c>
      <c r="E152" s="213">
        <v>8270800</v>
      </c>
      <c r="F152" s="155">
        <v>8607719</v>
      </c>
      <c r="G152" s="155">
        <v>8829270</v>
      </c>
      <c r="H152" s="155">
        <v>9169212</v>
      </c>
      <c r="I152" s="156"/>
      <c r="J152" s="157">
        <v>9696480</v>
      </c>
      <c r="K152" s="157">
        <v>10356909</v>
      </c>
      <c r="L152" s="157">
        <v>9947977</v>
      </c>
      <c r="M152" s="157">
        <v>10073107</v>
      </c>
      <c r="N152" s="156">
        <f>M152-L152</f>
        <v>125130</v>
      </c>
      <c r="O152" s="158">
        <f>N152/L152</f>
        <v>1.2578436801773868E-2</v>
      </c>
      <c r="P152" s="214" t="s">
        <v>374</v>
      </c>
      <c r="Q152" s="160">
        <v>10245803.210000001</v>
      </c>
      <c r="R152" s="160">
        <v>10462799.390000001</v>
      </c>
      <c r="S152" s="160">
        <v>10235200</v>
      </c>
      <c r="T152" s="160">
        <v>11292260</v>
      </c>
      <c r="U152" s="160">
        <f>S152-R152</f>
        <v>-227599.3900000006</v>
      </c>
      <c r="V152" s="160">
        <f>U152/Q152</f>
        <v>-2.2213913866495252E-2</v>
      </c>
      <c r="W152" s="160" t="s">
        <v>375</v>
      </c>
      <c r="X152" s="160"/>
      <c r="Y152" s="157">
        <v>12386042</v>
      </c>
      <c r="Z152" s="157">
        <v>11948711</v>
      </c>
      <c r="AA152" s="157">
        <v>13584897</v>
      </c>
      <c r="AB152" s="160">
        <f>Y152-T152</f>
        <v>1093782</v>
      </c>
      <c r="AC152" s="160">
        <f>T152-S152</f>
        <v>1057060</v>
      </c>
      <c r="AD152" s="161">
        <f>AB152/T152</f>
        <v>9.6861212901580368E-2</v>
      </c>
      <c r="AE152" s="162">
        <f>Z152-T152</f>
        <v>656451</v>
      </c>
      <c r="AF152" s="161">
        <f>AE152/T152</f>
        <v>5.813282726398436E-2</v>
      </c>
      <c r="AG152" s="162">
        <f>AA152-T152</f>
        <v>2292637</v>
      </c>
      <c r="AH152" s="161">
        <f>AG152/T152</f>
        <v>0.20302729480192627</v>
      </c>
      <c r="AI152" s="157">
        <v>15159062</v>
      </c>
      <c r="AJ152" s="157">
        <v>14150892</v>
      </c>
      <c r="AK152" s="157">
        <f>AI152-AA152</f>
        <v>1574165</v>
      </c>
      <c r="AL152" s="163">
        <f>AK152/AA152</f>
        <v>0.11587610859324145</v>
      </c>
      <c r="AM152" s="157">
        <f>AJ152-AA152</f>
        <v>565995</v>
      </c>
      <c r="AN152" s="163">
        <f>AM152/AA152</f>
        <v>4.1663547393844799E-2</v>
      </c>
      <c r="AO152" s="215">
        <v>14181467</v>
      </c>
      <c r="AP152" s="108">
        <f>AO152-AA152</f>
        <v>596570</v>
      </c>
      <c r="AQ152" s="131">
        <f>AP152/AA152</f>
        <v>4.3914208550863504E-2</v>
      </c>
      <c r="AR152" s="130">
        <v>15169002</v>
      </c>
      <c r="AS152" s="132">
        <f>AR152-AA152</f>
        <v>1584105</v>
      </c>
      <c r="AT152" s="131">
        <f>AS152/AA152</f>
        <v>0.11660780350414141</v>
      </c>
      <c r="AU152" s="108">
        <v>14824818</v>
      </c>
      <c r="AV152" s="108">
        <v>14749818</v>
      </c>
      <c r="AW152" s="108">
        <f>AV152-AO152</f>
        <v>568351</v>
      </c>
      <c r="AX152" s="131">
        <f>AW152/AO152</f>
        <v>4.0077024471445725E-2</v>
      </c>
      <c r="AY152" s="108">
        <v>14137477</v>
      </c>
      <c r="AZ152" s="108">
        <f>AY152-AO152</f>
        <v>-43990</v>
      </c>
      <c r="BA152" s="131">
        <f>AZ152/AO152</f>
        <v>-3.101935787038111E-3</v>
      </c>
      <c r="BB152" s="112">
        <f>+AV152-AY152</f>
        <v>612341</v>
      </c>
      <c r="BC152" s="108">
        <v>14577320</v>
      </c>
      <c r="BD152" s="108">
        <f>BC152-AY152</f>
        <v>439843</v>
      </c>
      <c r="BE152" s="134">
        <f>BD152/AY152</f>
        <v>3.1111845486998847E-2</v>
      </c>
      <c r="BF152" s="108">
        <v>14445320</v>
      </c>
      <c r="BG152" s="108">
        <v>14300867</v>
      </c>
      <c r="BH152" s="108">
        <v>14409507</v>
      </c>
      <c r="BI152" s="108">
        <v>15513768</v>
      </c>
      <c r="BJ152" s="108">
        <v>14908820</v>
      </c>
      <c r="BK152" s="108">
        <v>14908820</v>
      </c>
      <c r="BL152" s="108">
        <v>16626574</v>
      </c>
      <c r="BM152" s="108">
        <v>14875709.02</v>
      </c>
      <c r="BN152" s="108">
        <v>15495534</v>
      </c>
      <c r="BO152" s="108">
        <v>1131040</v>
      </c>
      <c r="BP152" s="108">
        <f>BN152-BK152</f>
        <v>586714</v>
      </c>
      <c r="BQ152" s="134">
        <f>BP152/BK152</f>
        <v>3.9353483374271067E-2</v>
      </c>
      <c r="BR152" s="111">
        <f>BO152-BN152</f>
        <v>-14364494</v>
      </c>
      <c r="BS152" s="108">
        <f>16140963.7-680908+35070.79</f>
        <v>15495126.489999998</v>
      </c>
      <c r="BT152" s="108">
        <v>16123122</v>
      </c>
      <c r="BU152" s="108">
        <f>16081466.4+41655.6</f>
        <v>16123122</v>
      </c>
      <c r="BV152" s="108">
        <v>16754663</v>
      </c>
      <c r="BW152" s="108">
        <v>17399092</v>
      </c>
      <c r="BX152" s="108">
        <f>16714740.08+39416.3</f>
        <v>16754156.380000001</v>
      </c>
      <c r="BY152" s="108">
        <f>BW152</f>
        <v>17399092</v>
      </c>
      <c r="BZ152" s="108">
        <f>17238852.3+160071.7</f>
        <v>17398924</v>
      </c>
      <c r="CA152" s="108">
        <f>18330326+36740-31623</f>
        <v>18335443</v>
      </c>
      <c r="CB152" s="108">
        <v>19630163</v>
      </c>
      <c r="CC152" s="108">
        <f>CB152</f>
        <v>19630163</v>
      </c>
      <c r="CD152" s="108">
        <f>18088654.98+126114.02</f>
        <v>18214769</v>
      </c>
      <c r="CE152" s="108">
        <v>19602049</v>
      </c>
      <c r="CF152" s="108">
        <v>20190110.469999999</v>
      </c>
    </row>
    <row r="153" spans="1:84" x14ac:dyDescent="0.4">
      <c r="A153" s="124"/>
      <c r="B153" s="124" t="s">
        <v>376</v>
      </c>
      <c r="C153" s="110" t="s">
        <v>377</v>
      </c>
      <c r="D153" s="216"/>
      <c r="E153" s="216"/>
      <c r="F153" s="217"/>
      <c r="G153" s="217"/>
      <c r="H153" s="217"/>
      <c r="I153" s="218"/>
      <c r="J153" s="219"/>
      <c r="K153" s="219"/>
      <c r="L153" s="219"/>
      <c r="M153" s="219"/>
      <c r="N153" s="218"/>
      <c r="O153" s="220"/>
      <c r="P153" s="221"/>
      <c r="Q153" s="188"/>
      <c r="R153" s="188"/>
      <c r="S153" s="188"/>
      <c r="T153" s="188"/>
      <c r="U153" s="188"/>
      <c r="V153" s="188"/>
      <c r="W153" s="188"/>
      <c r="X153" s="188"/>
      <c r="Y153" s="219"/>
      <c r="Z153" s="219"/>
      <c r="AA153" s="209"/>
      <c r="AB153" s="188"/>
      <c r="AC153" s="188"/>
      <c r="AD153" s="222"/>
      <c r="AE153" s="223"/>
      <c r="AF153" s="222"/>
      <c r="AG153" s="223"/>
      <c r="AH153" s="222"/>
      <c r="AI153" s="219"/>
      <c r="AJ153" s="219"/>
      <c r="AK153" s="219"/>
      <c r="AL153" s="224"/>
      <c r="AM153" s="219"/>
      <c r="AN153" s="224"/>
      <c r="AO153" s="215"/>
      <c r="AP153" s="108"/>
      <c r="AQ153" s="131"/>
      <c r="AR153" s="130"/>
      <c r="AS153" s="132"/>
      <c r="AT153" s="131"/>
      <c r="AU153" s="108"/>
      <c r="AV153" s="108"/>
      <c r="AW153" s="108"/>
      <c r="AX153" s="131"/>
      <c r="AY153" s="108"/>
      <c r="AZ153" s="108"/>
      <c r="BA153" s="131"/>
      <c r="BC153" s="108"/>
      <c r="BD153" s="108"/>
      <c r="BE153" s="134"/>
      <c r="BF153" s="108"/>
      <c r="BG153" s="108"/>
      <c r="BH153" s="108">
        <v>76861</v>
      </c>
      <c r="BI153" s="108">
        <v>0</v>
      </c>
      <c r="BJ153" s="108">
        <v>0</v>
      </c>
      <c r="BK153" s="108">
        <v>39124</v>
      </c>
      <c r="BL153" s="108">
        <v>0</v>
      </c>
      <c r="BM153" s="108">
        <v>39124</v>
      </c>
      <c r="BN153" s="108">
        <v>0</v>
      </c>
      <c r="BO153" s="108">
        <v>0</v>
      </c>
      <c r="BP153" s="108">
        <f>BN153-BK153</f>
        <v>-39124</v>
      </c>
      <c r="BQ153" s="134"/>
      <c r="BR153" s="111">
        <f>BO153-BN153</f>
        <v>0</v>
      </c>
      <c r="BS153" s="108">
        <v>0</v>
      </c>
      <c r="BT153" s="108">
        <v>0</v>
      </c>
      <c r="BU153" s="108">
        <v>0</v>
      </c>
      <c r="BV153" s="108">
        <v>0</v>
      </c>
      <c r="BW153" s="108">
        <v>0</v>
      </c>
      <c r="BX153" s="108">
        <v>0</v>
      </c>
      <c r="BY153" s="108">
        <f>BW153</f>
        <v>0</v>
      </c>
      <c r="BZ153" s="108">
        <v>0</v>
      </c>
      <c r="CA153" s="108">
        <v>0</v>
      </c>
      <c r="CB153" s="108">
        <v>0</v>
      </c>
      <c r="CC153" s="108">
        <f>CB153</f>
        <v>0</v>
      </c>
      <c r="CD153" s="108">
        <v>0</v>
      </c>
      <c r="CE153" s="108">
        <f>CC153</f>
        <v>0</v>
      </c>
      <c r="CF153" s="108">
        <v>0</v>
      </c>
    </row>
    <row r="154" spans="1:84" x14ac:dyDescent="0.4">
      <c r="A154" s="124"/>
      <c r="B154" s="124" t="s">
        <v>378</v>
      </c>
      <c r="C154" s="110" t="s">
        <v>379</v>
      </c>
      <c r="D154" s="216"/>
      <c r="E154" s="216"/>
      <c r="F154" s="217"/>
      <c r="G154" s="217"/>
      <c r="H154" s="217"/>
      <c r="I154" s="218"/>
      <c r="J154" s="219"/>
      <c r="K154" s="219"/>
      <c r="L154" s="219"/>
      <c r="M154" s="219"/>
      <c r="N154" s="218"/>
      <c r="O154" s="220"/>
      <c r="P154" s="221"/>
      <c r="Q154" s="188"/>
      <c r="R154" s="188"/>
      <c r="S154" s="188"/>
      <c r="T154" s="188"/>
      <c r="U154" s="188"/>
      <c r="V154" s="188"/>
      <c r="W154" s="188"/>
      <c r="X154" s="188"/>
      <c r="Y154" s="219"/>
      <c r="Z154" s="219"/>
      <c r="AA154" s="195"/>
      <c r="AB154" s="188"/>
      <c r="AC154" s="188"/>
      <c r="AD154" s="222"/>
      <c r="AE154" s="223"/>
      <c r="AF154" s="222"/>
      <c r="AG154" s="223"/>
      <c r="AH154" s="222"/>
      <c r="AI154" s="219"/>
      <c r="AJ154" s="219"/>
      <c r="AK154" s="219"/>
      <c r="AL154" s="224"/>
      <c r="AM154" s="219"/>
      <c r="AN154" s="224"/>
      <c r="AO154" s="215"/>
      <c r="AP154" s="108"/>
      <c r="AQ154" s="131"/>
      <c r="AR154" s="130"/>
      <c r="AS154" s="132"/>
      <c r="AT154" s="131"/>
      <c r="AU154" s="108"/>
      <c r="AV154" s="108"/>
      <c r="AW154" s="108"/>
      <c r="AX154" s="131"/>
      <c r="AY154" s="108"/>
      <c r="AZ154" s="108"/>
      <c r="BA154" s="131"/>
      <c r="BC154" s="108"/>
      <c r="BD154" s="108"/>
      <c r="BE154" s="134"/>
      <c r="BF154" s="108"/>
      <c r="BG154" s="108"/>
      <c r="BH154" s="108"/>
      <c r="BI154" s="108"/>
      <c r="BJ154" s="108"/>
      <c r="BK154" s="108"/>
      <c r="BL154" s="108"/>
      <c r="BM154" s="108"/>
      <c r="BN154" s="108"/>
      <c r="BO154" s="108"/>
      <c r="BP154" s="108"/>
      <c r="BQ154" s="134"/>
      <c r="BT154" s="108"/>
      <c r="BU154" s="108">
        <v>0</v>
      </c>
      <c r="BV154" s="108"/>
      <c r="BW154" s="108">
        <v>116000</v>
      </c>
      <c r="BX154" s="108">
        <v>0</v>
      </c>
      <c r="BY154" s="108">
        <f>BW154</f>
        <v>116000</v>
      </c>
      <c r="BZ154" s="108">
        <v>116000</v>
      </c>
      <c r="CA154" s="108">
        <v>119257</v>
      </c>
      <c r="CB154" s="108">
        <v>119257</v>
      </c>
      <c r="CC154" s="108">
        <f>CB154</f>
        <v>119257</v>
      </c>
      <c r="CD154" s="108">
        <f>78731.84+37731.57</f>
        <v>116463.41</v>
      </c>
      <c r="CE154" s="108">
        <f>CC154</f>
        <v>119257</v>
      </c>
      <c r="CF154" s="108">
        <v>17686</v>
      </c>
    </row>
    <row r="155" spans="1:84" s="141" customFormat="1" x14ac:dyDescent="0.4">
      <c r="A155" s="124">
        <v>310</v>
      </c>
      <c r="B155" s="124">
        <f>B152+1</f>
        <v>80</v>
      </c>
      <c r="C155" s="110" t="s">
        <v>380</v>
      </c>
      <c r="D155" s="106">
        <v>158501</v>
      </c>
      <c r="E155" s="106">
        <v>154156</v>
      </c>
      <c r="F155" s="128">
        <v>128491</v>
      </c>
      <c r="G155" s="106">
        <v>241704</v>
      </c>
      <c r="H155" s="106">
        <v>308811</v>
      </c>
      <c r="I155" s="129"/>
      <c r="J155" s="130">
        <v>313448</v>
      </c>
      <c r="K155" s="130">
        <v>386466</v>
      </c>
      <c r="L155" s="130">
        <v>383454</v>
      </c>
      <c r="M155" s="130">
        <v>325000</v>
      </c>
      <c r="N155" s="129">
        <f>M155-L155</f>
        <v>-58454</v>
      </c>
      <c r="O155" s="138">
        <f>N155/L155</f>
        <v>-0.15244070996781883</v>
      </c>
      <c r="P155" s="225" t="s">
        <v>381</v>
      </c>
      <c r="Q155" s="132">
        <v>312615</v>
      </c>
      <c r="R155" s="164">
        <v>401764</v>
      </c>
      <c r="S155" s="164">
        <v>397000</v>
      </c>
      <c r="T155" s="132">
        <v>516748</v>
      </c>
      <c r="U155" s="132">
        <f>S155-R155</f>
        <v>-4764</v>
      </c>
      <c r="V155" s="132">
        <f>U155/R155</f>
        <v>-1.1857707509881422E-2</v>
      </c>
      <c r="W155" s="132"/>
      <c r="X155" s="132"/>
      <c r="Y155" s="130">
        <v>584851</v>
      </c>
      <c r="Z155" s="130">
        <v>584851</v>
      </c>
      <c r="AA155" s="130">
        <v>584719</v>
      </c>
      <c r="AB155" s="132">
        <f>Y155-T155</f>
        <v>68103</v>
      </c>
      <c r="AC155" s="132">
        <f>T155-S155</f>
        <v>119748</v>
      </c>
      <c r="AD155" s="131">
        <f>AB155/T155</f>
        <v>0.1317915115297979</v>
      </c>
      <c r="AE155" s="133">
        <f>Z155-T155</f>
        <v>68103</v>
      </c>
      <c r="AF155" s="131">
        <f>AE155/T155</f>
        <v>0.1317915115297979</v>
      </c>
      <c r="AG155" s="133">
        <f>AA155-T155</f>
        <v>67971</v>
      </c>
      <c r="AH155" s="131">
        <f>AG155/T155</f>
        <v>0.13153606787060618</v>
      </c>
      <c r="AI155" s="130">
        <v>650470</v>
      </c>
      <c r="AJ155" s="130">
        <v>639310</v>
      </c>
      <c r="AK155" s="130">
        <f>AI155-AA155</f>
        <v>65751</v>
      </c>
      <c r="AL155" s="134">
        <f>AK155/AA155</f>
        <v>0.11244888570407324</v>
      </c>
      <c r="AM155" s="130">
        <f>AJ155-AA155</f>
        <v>54591</v>
      </c>
      <c r="AN155" s="134">
        <f>AM155/AA155</f>
        <v>9.3362794778346525E-2</v>
      </c>
      <c r="AO155" s="215">
        <v>638471</v>
      </c>
      <c r="AP155" s="108">
        <f>AO155-AA155</f>
        <v>53752</v>
      </c>
      <c r="AQ155" s="131">
        <f>AP155/AA155</f>
        <v>9.1927917512514556E-2</v>
      </c>
      <c r="AR155" s="130">
        <v>639310</v>
      </c>
      <c r="AS155" s="132">
        <f>AR155-AA155</f>
        <v>54591</v>
      </c>
      <c r="AT155" s="131">
        <f>AS155/AA155</f>
        <v>9.3362794778346525E-2</v>
      </c>
      <c r="AU155" s="108">
        <v>706551</v>
      </c>
      <c r="AV155" s="108">
        <f>AY155</f>
        <v>563508</v>
      </c>
      <c r="AW155" s="108">
        <f>AV155-AO155</f>
        <v>-74963</v>
      </c>
      <c r="AX155" s="131">
        <f>AW155/AO155</f>
        <v>-0.11741018777673536</v>
      </c>
      <c r="AY155" s="108">
        <v>563508</v>
      </c>
      <c r="AZ155" s="108">
        <f>AY155-AO155</f>
        <v>-74963</v>
      </c>
      <c r="BA155" s="131">
        <f>AZ155/AO155</f>
        <v>-0.11741018777673536</v>
      </c>
      <c r="BB155" s="112">
        <f>+AV155-AY155</f>
        <v>0</v>
      </c>
      <c r="BC155" s="108">
        <v>641427</v>
      </c>
      <c r="BD155" s="108">
        <f>BC155-AY155</f>
        <v>77919</v>
      </c>
      <c r="BE155" s="134">
        <f>BD155/AY155</f>
        <v>0.13827487808513811</v>
      </c>
      <c r="BF155" s="108">
        <v>637977</v>
      </c>
      <c r="BG155" s="108">
        <v>636020</v>
      </c>
      <c r="BH155" s="108">
        <v>633124</v>
      </c>
      <c r="BI155" s="108">
        <v>664780</v>
      </c>
      <c r="BJ155" s="108">
        <v>628573</v>
      </c>
      <c r="BK155" s="108">
        <v>628573</v>
      </c>
      <c r="BL155" s="108">
        <v>681078</v>
      </c>
      <c r="BM155" s="108">
        <v>628573</v>
      </c>
      <c r="BN155" s="108">
        <v>681078</v>
      </c>
      <c r="BO155" s="108">
        <v>0</v>
      </c>
      <c r="BP155" s="108">
        <f>BN155-BK155</f>
        <v>52505</v>
      </c>
      <c r="BQ155" s="134">
        <f>BP155/BK155</f>
        <v>8.3530472991999338E-2</v>
      </c>
      <c r="BR155" s="111">
        <f>BO155-BN155</f>
        <v>-681078</v>
      </c>
      <c r="BS155" s="108">
        <v>680908</v>
      </c>
      <c r="BT155" s="108">
        <v>708561</v>
      </c>
      <c r="BU155" s="108">
        <f>708561+49244</f>
        <v>757805</v>
      </c>
      <c r="BV155" s="108">
        <v>710814</v>
      </c>
      <c r="BW155" s="108">
        <v>801484</v>
      </c>
      <c r="BX155" s="108">
        <v>710814</v>
      </c>
      <c r="BY155" s="136">
        <v>799478</v>
      </c>
      <c r="BZ155" s="136">
        <v>799478</v>
      </c>
      <c r="CA155" s="136">
        <v>899267</v>
      </c>
      <c r="CB155" s="136">
        <v>930741.35</v>
      </c>
      <c r="CC155" s="108">
        <f>CB155</f>
        <v>930741.35</v>
      </c>
      <c r="CD155" s="108">
        <v>890058</v>
      </c>
      <c r="CE155" s="108">
        <v>877527</v>
      </c>
      <c r="CF155" s="108">
        <v>824011</v>
      </c>
    </row>
    <row r="156" spans="1:84" s="141" customFormat="1" hidden="1" x14ac:dyDescent="0.4">
      <c r="A156" s="124"/>
      <c r="B156" s="124">
        <f>B155+1</f>
        <v>81</v>
      </c>
      <c r="C156" s="110" t="s">
        <v>382</v>
      </c>
      <c r="D156" s="106"/>
      <c r="E156" s="106"/>
      <c r="F156" s="128"/>
      <c r="G156" s="106"/>
      <c r="H156" s="106"/>
      <c r="I156" s="129"/>
      <c r="J156" s="130"/>
      <c r="K156" s="130"/>
      <c r="L156" s="130"/>
      <c r="M156" s="130">
        <v>1522236</v>
      </c>
      <c r="N156" s="129"/>
      <c r="O156" s="138"/>
      <c r="P156" s="225"/>
      <c r="Q156" s="132">
        <v>1336428.98</v>
      </c>
      <c r="R156" s="164">
        <v>1504357.32</v>
      </c>
      <c r="S156" s="164">
        <v>1727400</v>
      </c>
      <c r="T156" s="132">
        <v>1631005</v>
      </c>
      <c r="U156" s="132">
        <f>S156-R156</f>
        <v>223042.67999999993</v>
      </c>
      <c r="V156" s="132">
        <f>U156/R156</f>
        <v>0.14826442962367473</v>
      </c>
      <c r="W156" s="132"/>
      <c r="X156" s="132"/>
      <c r="Y156" s="130">
        <v>1894510</v>
      </c>
      <c r="Z156" s="130">
        <v>1894510</v>
      </c>
      <c r="AA156" s="130">
        <v>0</v>
      </c>
      <c r="AB156" s="132">
        <f>Y156-T156</f>
        <v>263505</v>
      </c>
      <c r="AC156" s="132">
        <f>T156-S156</f>
        <v>-96395</v>
      </c>
      <c r="AD156" s="131">
        <f>AB156/T156</f>
        <v>0.16155989711864771</v>
      </c>
      <c r="AE156" s="133">
        <f>Z156-T156</f>
        <v>263505</v>
      </c>
      <c r="AF156" s="131">
        <f>AE156/T156</f>
        <v>0.16155989711864771</v>
      </c>
      <c r="AG156" s="133">
        <f>AA156-T156</f>
        <v>-1631005</v>
      </c>
      <c r="AH156" s="131">
        <f>AG156/T156</f>
        <v>-1</v>
      </c>
      <c r="AI156" s="130">
        <v>0</v>
      </c>
      <c r="AJ156" s="130">
        <v>0</v>
      </c>
      <c r="AK156" s="130">
        <f>AI156-AA156</f>
        <v>0</v>
      </c>
      <c r="AL156" s="134"/>
      <c r="AM156" s="130">
        <f>AJ156-AA156</f>
        <v>0</v>
      </c>
      <c r="AN156" s="134"/>
      <c r="AO156" s="215">
        <f>AJ156</f>
        <v>0</v>
      </c>
      <c r="AP156" s="108">
        <f>AO156-AA156</f>
        <v>0</v>
      </c>
      <c r="AQ156" s="131"/>
      <c r="AR156" s="130">
        <v>0</v>
      </c>
      <c r="AS156" s="132">
        <f>AR156-AA156</f>
        <v>0</v>
      </c>
      <c r="AT156" s="131"/>
      <c r="AU156" s="108">
        <v>0</v>
      </c>
      <c r="AV156" s="108">
        <f>AY156</f>
        <v>0</v>
      </c>
      <c r="AW156" s="108">
        <f>AV156-AO156</f>
        <v>0</v>
      </c>
      <c r="AX156" s="131"/>
      <c r="AY156" s="108">
        <v>0</v>
      </c>
      <c r="AZ156" s="108">
        <f>AY156-AO156</f>
        <v>0</v>
      </c>
      <c r="BA156" s="131"/>
      <c r="BB156" s="112">
        <f>+AV156-AY156</f>
        <v>0</v>
      </c>
      <c r="BC156" s="108">
        <v>0</v>
      </c>
      <c r="BD156" s="108">
        <f>BC156-AY156</f>
        <v>0</v>
      </c>
      <c r="BE156" s="134"/>
      <c r="BF156" s="108">
        <f>BC156</f>
        <v>0</v>
      </c>
      <c r="BG156" s="108"/>
      <c r="BH156" s="108"/>
      <c r="BI156" s="108"/>
      <c r="BJ156" s="108"/>
      <c r="BK156" s="108"/>
      <c r="BL156" s="108"/>
      <c r="BM156" s="108"/>
      <c r="BN156" s="108"/>
      <c r="BO156" s="108"/>
      <c r="BP156" s="108">
        <f>BN156-BK156</f>
        <v>0</v>
      </c>
      <c r="BQ156" s="134" t="e">
        <f>BP156/BK156</f>
        <v>#DIV/0!</v>
      </c>
      <c r="BR156" s="111">
        <f>BO156-BN156</f>
        <v>0</v>
      </c>
      <c r="BS156" s="108"/>
      <c r="BT156" s="108"/>
      <c r="BU156" s="108"/>
      <c r="BV156" s="108"/>
      <c r="BW156" s="108"/>
      <c r="BX156" s="108"/>
      <c r="CE156" s="108">
        <f>CC156</f>
        <v>0</v>
      </c>
      <c r="CF156" s="108"/>
    </row>
    <row r="157" spans="1:84" s="141" customFormat="1" x14ac:dyDescent="0.4">
      <c r="A157" s="124"/>
      <c r="B157" s="124">
        <f>B155+1</f>
        <v>81</v>
      </c>
      <c r="C157" s="110" t="s">
        <v>383</v>
      </c>
      <c r="D157" s="106"/>
      <c r="E157" s="106"/>
      <c r="F157" s="128"/>
      <c r="G157" s="106"/>
      <c r="H157" s="106"/>
      <c r="I157" s="129"/>
      <c r="J157" s="130">
        <v>4992</v>
      </c>
      <c r="K157" s="130"/>
      <c r="L157" s="130">
        <v>3229</v>
      </c>
      <c r="M157" s="130">
        <v>3000</v>
      </c>
      <c r="N157" s="129"/>
      <c r="O157" s="138"/>
      <c r="P157" s="225"/>
      <c r="Q157" s="132">
        <v>4266.5600000000004</v>
      </c>
      <c r="R157" s="164">
        <v>4555.74</v>
      </c>
      <c r="S157" s="164">
        <v>3600</v>
      </c>
      <c r="T157" s="132">
        <v>8154</v>
      </c>
      <c r="U157" s="132">
        <f>S157-R157</f>
        <v>-955.73999999999978</v>
      </c>
      <c r="V157" s="132">
        <f>U157/R157</f>
        <v>-0.20978809150653896</v>
      </c>
      <c r="W157" s="132" t="s">
        <v>384</v>
      </c>
      <c r="X157" s="132"/>
      <c r="Y157" s="130">
        <f>T157</f>
        <v>8154</v>
      </c>
      <c r="Z157" s="130">
        <v>3600</v>
      </c>
      <c r="AA157" s="130">
        <v>5889</v>
      </c>
      <c r="AB157" s="132">
        <f>Y157-T157</f>
        <v>0</v>
      </c>
      <c r="AC157" s="132">
        <f>T157-S157</f>
        <v>4554</v>
      </c>
      <c r="AD157" s="131">
        <f>AB157/T157</f>
        <v>0</v>
      </c>
      <c r="AE157" s="133">
        <f>Z157-T157</f>
        <v>-4554</v>
      </c>
      <c r="AF157" s="131">
        <f>AE157/T157</f>
        <v>-0.55849889624724058</v>
      </c>
      <c r="AG157" s="133">
        <f>AA157-T157</f>
        <v>-2265</v>
      </c>
      <c r="AH157" s="131">
        <f>AG157/T157</f>
        <v>-0.27777777777777779</v>
      </c>
      <c r="AI157" s="130">
        <v>4212</v>
      </c>
      <c r="AJ157" s="130">
        <v>3600</v>
      </c>
      <c r="AK157" s="130">
        <f>AI157-AA157</f>
        <v>-1677</v>
      </c>
      <c r="AL157" s="134">
        <f>AK157/AA157</f>
        <v>-0.28476821192052981</v>
      </c>
      <c r="AM157" s="130">
        <f>AJ157-AA157</f>
        <v>-2289</v>
      </c>
      <c r="AN157" s="134">
        <f>AM157/AA157</f>
        <v>-0.38869077941925623</v>
      </c>
      <c r="AO157" s="215">
        <v>5850</v>
      </c>
      <c r="AP157" s="108">
        <f>AO157-AA157</f>
        <v>-39</v>
      </c>
      <c r="AQ157" s="131">
        <f>AP157/AA157</f>
        <v>-6.6225165562913907E-3</v>
      </c>
      <c r="AR157" s="130">
        <v>3600</v>
      </c>
      <c r="AS157" s="132">
        <f>AR157-AA157</f>
        <v>-2289</v>
      </c>
      <c r="AT157" s="131">
        <f>AS157/AA157</f>
        <v>-0.38869077941925623</v>
      </c>
      <c r="AU157" s="108">
        <v>3600</v>
      </c>
      <c r="AV157" s="108">
        <f>AY157</f>
        <v>9206</v>
      </c>
      <c r="AW157" s="108">
        <f>AV157-AO157</f>
        <v>3356</v>
      </c>
      <c r="AX157" s="131">
        <f>AW157/AO157</f>
        <v>0.57367521367521368</v>
      </c>
      <c r="AY157" s="108">
        <v>9206</v>
      </c>
      <c r="AZ157" s="108">
        <f>AY157-AO157</f>
        <v>3356</v>
      </c>
      <c r="BA157" s="131">
        <f>AZ157/AO157</f>
        <v>0.57367521367521368</v>
      </c>
      <c r="BB157" s="112">
        <f>+AV157-AY157</f>
        <v>0</v>
      </c>
      <c r="BC157" s="108">
        <v>3600</v>
      </c>
      <c r="BD157" s="108">
        <f>BC157-AY157</f>
        <v>-5606</v>
      </c>
      <c r="BE157" s="134">
        <f>BD157/AY157</f>
        <v>-0.60895068433630239</v>
      </c>
      <c r="BF157" s="108">
        <v>0</v>
      </c>
      <c r="BG157" s="108">
        <v>0</v>
      </c>
      <c r="BH157" s="108">
        <v>0</v>
      </c>
      <c r="BI157" s="108">
        <v>0</v>
      </c>
      <c r="BJ157" s="108">
        <v>0</v>
      </c>
      <c r="BK157" s="108">
        <v>0</v>
      </c>
      <c r="BL157" s="108">
        <v>0</v>
      </c>
      <c r="BM157" s="108">
        <v>0</v>
      </c>
      <c r="BN157" s="108">
        <v>0</v>
      </c>
      <c r="BO157" s="108"/>
      <c r="BP157" s="108">
        <f>BN157-BK157</f>
        <v>0</v>
      </c>
      <c r="BQ157" s="134"/>
      <c r="BR157" s="111">
        <f>BO157-BN157</f>
        <v>0</v>
      </c>
      <c r="BS157" s="108">
        <v>0</v>
      </c>
      <c r="BT157" s="108">
        <v>0</v>
      </c>
      <c r="BU157" s="108">
        <v>0</v>
      </c>
      <c r="BV157" s="108">
        <v>0</v>
      </c>
      <c r="BW157" s="108">
        <v>0</v>
      </c>
      <c r="BX157" s="108">
        <v>0</v>
      </c>
      <c r="BY157" s="108">
        <f>BW157</f>
        <v>0</v>
      </c>
      <c r="BZ157" s="108">
        <v>0</v>
      </c>
      <c r="CA157" s="108">
        <f>BX157</f>
        <v>0</v>
      </c>
      <c r="CB157" s="108">
        <f>BY157</f>
        <v>0</v>
      </c>
      <c r="CC157" s="108">
        <f>CA157</f>
        <v>0</v>
      </c>
      <c r="CD157" s="108">
        <v>0</v>
      </c>
      <c r="CE157" s="108">
        <f>CC157</f>
        <v>0</v>
      </c>
      <c r="CF157" s="108">
        <v>0</v>
      </c>
    </row>
    <row r="158" spans="1:84" s="141" customFormat="1" x14ac:dyDescent="0.4">
      <c r="A158" s="124"/>
      <c r="B158" s="124"/>
      <c r="C158" s="127"/>
      <c r="D158" s="106"/>
      <c r="E158" s="106"/>
      <c r="F158" s="128"/>
      <c r="G158" s="112"/>
      <c r="H158" s="112"/>
      <c r="I158" s="140"/>
      <c r="J158" s="140"/>
      <c r="K158" s="140"/>
      <c r="L158" s="140"/>
      <c r="M158" s="140"/>
      <c r="N158" s="129"/>
      <c r="O158" s="175"/>
      <c r="T158" s="132"/>
      <c r="U158" s="132"/>
      <c r="V158" s="132"/>
      <c r="W158" s="132"/>
      <c r="X158" s="132"/>
      <c r="Y158" s="130"/>
      <c r="Z158" s="130"/>
      <c r="AA158" s="130"/>
      <c r="AB158" s="132"/>
      <c r="AC158" s="132"/>
      <c r="AU158" s="108"/>
      <c r="AV158" s="108"/>
      <c r="AW158" s="108"/>
      <c r="AX158" s="108"/>
      <c r="AY158" s="108"/>
      <c r="BB158" s="143"/>
      <c r="BC158" s="108"/>
      <c r="BF158" s="108"/>
      <c r="BS158" s="108"/>
    </row>
    <row r="159" spans="1:84" x14ac:dyDescent="0.4">
      <c r="A159" s="124" t="s">
        <v>134</v>
      </c>
      <c r="B159" s="124"/>
      <c r="C159" s="142" t="s">
        <v>385</v>
      </c>
      <c r="D159" s="164">
        <f>SUM(D152:D155)</f>
        <v>7875003</v>
      </c>
      <c r="E159" s="164">
        <f>SUM(E151:E155)</f>
        <v>8424956</v>
      </c>
      <c r="F159" s="164">
        <f>SUM(F151:F155)</f>
        <v>8736210</v>
      </c>
      <c r="G159" s="164">
        <f>SUM(G151:G155)</f>
        <v>9070974</v>
      </c>
      <c r="H159" s="164">
        <f>SUM(H151:H155)</f>
        <v>9478023</v>
      </c>
      <c r="I159" s="164" t="e">
        <f>#REF!-G159</f>
        <v>#REF!</v>
      </c>
      <c r="J159" s="164">
        <f>SUM(J152:J158)</f>
        <v>10014920</v>
      </c>
      <c r="K159" s="164">
        <f>SUM(K152:K155)</f>
        <v>10743375</v>
      </c>
      <c r="L159" s="164">
        <f>SUM(L152:L158)</f>
        <v>10334660</v>
      </c>
      <c r="M159" s="164">
        <f>SUM(M152:M158)</f>
        <v>11923343</v>
      </c>
      <c r="N159" s="164">
        <f>M159-L159</f>
        <v>1588683</v>
      </c>
      <c r="O159" s="131">
        <f>N159/L159</f>
        <v>0.15372377997921557</v>
      </c>
      <c r="Q159" s="164">
        <f t="shared" ref="Q159:AJ159" si="172">SUM(Q152:Q158)</f>
        <v>11899113.750000002</v>
      </c>
      <c r="R159" s="164">
        <f t="shared" si="172"/>
        <v>12373476.450000001</v>
      </c>
      <c r="S159" s="164">
        <f t="shared" si="172"/>
        <v>12363200</v>
      </c>
      <c r="T159" s="132">
        <f t="shared" si="172"/>
        <v>13448167</v>
      </c>
      <c r="U159" s="132">
        <f t="shared" si="172"/>
        <v>-10276.450000000661</v>
      </c>
      <c r="V159" s="132">
        <f t="shared" si="172"/>
        <v>-9.559528325924091E-2</v>
      </c>
      <c r="W159" s="132">
        <f t="shared" si="172"/>
        <v>0</v>
      </c>
      <c r="X159" s="132">
        <f t="shared" si="172"/>
        <v>0</v>
      </c>
      <c r="Y159" s="130">
        <f t="shared" si="172"/>
        <v>14873557</v>
      </c>
      <c r="Z159" s="130">
        <f t="shared" si="172"/>
        <v>14431672</v>
      </c>
      <c r="AA159" s="130">
        <f t="shared" si="172"/>
        <v>14175505</v>
      </c>
      <c r="AB159" s="130">
        <f t="shared" si="172"/>
        <v>1425390</v>
      </c>
      <c r="AC159" s="130">
        <f t="shared" si="172"/>
        <v>1084967</v>
      </c>
      <c r="AD159" s="130">
        <f t="shared" si="172"/>
        <v>0.39021262155002601</v>
      </c>
      <c r="AE159" s="130">
        <f t="shared" si="172"/>
        <v>983505</v>
      </c>
      <c r="AF159" s="130">
        <f t="shared" si="172"/>
        <v>-0.20701466033481064</v>
      </c>
      <c r="AG159" s="130">
        <f t="shared" si="172"/>
        <v>727338</v>
      </c>
      <c r="AH159" s="130">
        <f t="shared" si="172"/>
        <v>-0.9432144151052454</v>
      </c>
      <c r="AI159" s="130">
        <f t="shared" si="172"/>
        <v>15813744</v>
      </c>
      <c r="AJ159" s="130">
        <f t="shared" si="172"/>
        <v>14793802</v>
      </c>
      <c r="AK159" s="130">
        <f>AI159-AA159</f>
        <v>1638239</v>
      </c>
      <c r="AL159" s="134">
        <f>AK159/AA159</f>
        <v>0.11556829897770837</v>
      </c>
      <c r="AM159" s="130">
        <f>AJ159-AA159</f>
        <v>618297</v>
      </c>
      <c r="AN159" s="134">
        <f>AM159/AA159</f>
        <v>4.3617282065083397E-2</v>
      </c>
      <c r="AO159" s="130">
        <f>SUM(AO152:AO158)</f>
        <v>14825788</v>
      </c>
      <c r="AP159" s="108">
        <f>AO159-AA159</f>
        <v>650283</v>
      </c>
      <c r="AQ159" s="131">
        <f>AP159/AA159</f>
        <v>4.587370961387266E-2</v>
      </c>
      <c r="AR159" s="130">
        <f>SUM(AR152:AR158)</f>
        <v>15811912</v>
      </c>
      <c r="AS159" s="132">
        <f>AR159-AA159</f>
        <v>1636407</v>
      </c>
      <c r="AT159" s="131">
        <f>AS159/AA159</f>
        <v>0.11543906195934465</v>
      </c>
      <c r="AU159" s="130">
        <f>SUM(AU152:AU158)</f>
        <v>15534969</v>
      </c>
      <c r="AV159" s="108">
        <f>AY159</f>
        <v>14710191</v>
      </c>
      <c r="AW159" s="108">
        <f>AV159-AO159</f>
        <v>-115597</v>
      </c>
      <c r="AX159" s="131">
        <f>AW159/AO159</f>
        <v>-7.7970223235351811E-3</v>
      </c>
      <c r="AY159" s="130">
        <f>SUM(AY152:AY158)</f>
        <v>14710191</v>
      </c>
      <c r="AZ159" s="108">
        <f>AY159-AO159</f>
        <v>-115597</v>
      </c>
      <c r="BA159" s="131">
        <f>AZ159/AO159</f>
        <v>-7.7970223235351811E-3</v>
      </c>
      <c r="BB159" s="112">
        <f>+AV159-AY159</f>
        <v>0</v>
      </c>
      <c r="BC159" s="108">
        <f>SUM(BC152:BC158)</f>
        <v>15222347</v>
      </c>
      <c r="BD159" s="108">
        <f>BC159-AY159</f>
        <v>512156</v>
      </c>
      <c r="BE159" s="134">
        <f>BD159/AY159</f>
        <v>3.4816407210484214E-2</v>
      </c>
      <c r="BF159" s="108">
        <f t="shared" ref="BF159:BO159" si="173">SUM(BF152:BF158)</f>
        <v>15083297</v>
      </c>
      <c r="BG159" s="108">
        <f t="shared" si="173"/>
        <v>14936887</v>
      </c>
      <c r="BH159" s="108">
        <f t="shared" si="173"/>
        <v>15119492</v>
      </c>
      <c r="BI159" s="108">
        <f t="shared" si="173"/>
        <v>16178548</v>
      </c>
      <c r="BJ159" s="108">
        <f t="shared" si="173"/>
        <v>15537393</v>
      </c>
      <c r="BK159" s="108">
        <f t="shared" si="173"/>
        <v>15576517</v>
      </c>
      <c r="BL159" s="108">
        <f t="shared" si="173"/>
        <v>17307652</v>
      </c>
      <c r="BM159" s="108">
        <f t="shared" si="173"/>
        <v>15543406.02</v>
      </c>
      <c r="BN159" s="108">
        <f t="shared" si="173"/>
        <v>16176612</v>
      </c>
      <c r="BO159" s="108">
        <f t="shared" si="173"/>
        <v>1131040</v>
      </c>
      <c r="BP159" s="108">
        <f>BN159-BK159</f>
        <v>600095</v>
      </c>
      <c r="BQ159" s="134">
        <f>BP159/BK159</f>
        <v>3.8525621613612338E-2</v>
      </c>
      <c r="BS159" s="108">
        <f t="shared" ref="BS159:CF159" si="174">SUM(BS152:BS158)</f>
        <v>16176034.489999998</v>
      </c>
      <c r="BT159" s="108">
        <f t="shared" si="174"/>
        <v>16831683</v>
      </c>
      <c r="BU159" s="108">
        <f t="shared" si="174"/>
        <v>16880927</v>
      </c>
      <c r="BV159" s="108">
        <f t="shared" si="174"/>
        <v>17465477</v>
      </c>
      <c r="BW159" s="108">
        <f t="shared" si="174"/>
        <v>18316576</v>
      </c>
      <c r="BX159" s="108">
        <f t="shared" si="174"/>
        <v>17464970.380000003</v>
      </c>
      <c r="BY159" s="108">
        <f t="shared" si="174"/>
        <v>18314570</v>
      </c>
      <c r="BZ159" s="108">
        <f t="shared" si="174"/>
        <v>18314402</v>
      </c>
      <c r="CA159" s="108">
        <f t="shared" si="174"/>
        <v>19353967</v>
      </c>
      <c r="CB159" s="108">
        <f t="shared" si="174"/>
        <v>20680161.350000001</v>
      </c>
      <c r="CC159" s="108">
        <f t="shared" si="174"/>
        <v>20680161.350000001</v>
      </c>
      <c r="CD159" s="108">
        <f t="shared" si="174"/>
        <v>19221290.41</v>
      </c>
      <c r="CE159" s="108">
        <f t="shared" si="174"/>
        <v>20598833</v>
      </c>
      <c r="CF159" s="108">
        <f t="shared" si="174"/>
        <v>21031807.469999999</v>
      </c>
    </row>
    <row r="160" spans="1:84" x14ac:dyDescent="0.4">
      <c r="A160" s="124" t="s">
        <v>134</v>
      </c>
      <c r="B160" s="124"/>
      <c r="C160" s="142"/>
      <c r="D160" s="106"/>
      <c r="E160" s="106"/>
      <c r="F160" s="128"/>
      <c r="G160" s="112"/>
      <c r="H160" s="112"/>
      <c r="I160" s="140"/>
      <c r="N160" s="129"/>
      <c r="O160" s="131"/>
      <c r="T160" s="132"/>
      <c r="U160" s="132"/>
      <c r="V160" s="132"/>
      <c r="W160" s="132"/>
      <c r="X160" s="132"/>
      <c r="Y160" s="130"/>
      <c r="Z160" s="130"/>
      <c r="AA160" s="130"/>
      <c r="AB160" s="132"/>
      <c r="AC160" s="132"/>
      <c r="AU160" s="108"/>
      <c r="AV160" s="108"/>
      <c r="AW160" s="108"/>
      <c r="AX160" s="108"/>
      <c r="AY160" s="108"/>
      <c r="BC160" s="108"/>
      <c r="BF160" s="108"/>
    </row>
    <row r="161" spans="1:84" x14ac:dyDescent="0.4">
      <c r="A161" s="124" t="s">
        <v>134</v>
      </c>
      <c r="B161" s="124" t="s">
        <v>134</v>
      </c>
      <c r="C161" s="180" t="s">
        <v>65</v>
      </c>
      <c r="D161" s="106"/>
      <c r="E161" s="106"/>
      <c r="F161" s="128"/>
      <c r="G161" s="112"/>
      <c r="H161" s="112"/>
      <c r="I161" s="140"/>
      <c r="N161" s="129"/>
      <c r="T161" s="132"/>
      <c r="U161" s="132"/>
      <c r="V161" s="132"/>
      <c r="W161" s="132"/>
      <c r="X161" s="132"/>
      <c r="Y161" s="130"/>
      <c r="Z161" s="130"/>
      <c r="AA161" s="130"/>
      <c r="AB161" s="132"/>
      <c r="AC161" s="132"/>
      <c r="AU161" s="108"/>
      <c r="AV161" s="108"/>
      <c r="AW161" s="108"/>
      <c r="AX161" s="108"/>
      <c r="AY161" s="108"/>
      <c r="BC161" s="108"/>
      <c r="BF161" s="108"/>
    </row>
    <row r="162" spans="1:84" x14ac:dyDescent="0.4">
      <c r="A162" s="124">
        <v>610</v>
      </c>
      <c r="B162" s="124">
        <f>B157+1</f>
        <v>82</v>
      </c>
      <c r="C162" s="110" t="s">
        <v>386</v>
      </c>
      <c r="D162" s="106">
        <v>136774</v>
      </c>
      <c r="E162" s="106">
        <v>148584</v>
      </c>
      <c r="F162" s="128">
        <v>158612</v>
      </c>
      <c r="G162" s="106">
        <v>170785</v>
      </c>
      <c r="H162" s="106">
        <v>181849</v>
      </c>
      <c r="I162" s="129"/>
      <c r="J162" s="130">
        <v>197527</v>
      </c>
      <c r="K162" s="130">
        <v>203487</v>
      </c>
      <c r="L162" s="130">
        <v>192329</v>
      </c>
      <c r="M162" s="130">
        <v>188122</v>
      </c>
      <c r="N162" s="129">
        <f>M162-L162</f>
        <v>-4207</v>
      </c>
      <c r="O162" s="138">
        <f>N162/L162</f>
        <v>-2.1873976363418934E-2</v>
      </c>
      <c r="Q162" s="132">
        <v>189420.75</v>
      </c>
      <c r="R162" s="164">
        <v>197437.83</v>
      </c>
      <c r="S162" s="164">
        <v>243822</v>
      </c>
      <c r="T162" s="132">
        <v>240609</v>
      </c>
      <c r="U162" s="132">
        <f>S162-R162</f>
        <v>46384.170000000013</v>
      </c>
      <c r="V162" s="132">
        <f>U162/Q162</f>
        <v>0.24487375327148694</v>
      </c>
      <c r="W162" s="132"/>
      <c r="X162" s="132"/>
      <c r="Y162" s="130">
        <v>293859</v>
      </c>
      <c r="Z162" s="130">
        <v>293859</v>
      </c>
      <c r="AA162" s="130">
        <v>261414</v>
      </c>
      <c r="AB162" s="132">
        <f>Y162-T162</f>
        <v>53250</v>
      </c>
      <c r="AC162" s="132">
        <f>T162-S162</f>
        <v>-3213</v>
      </c>
      <c r="AD162" s="131">
        <f>AB162/T162</f>
        <v>0.22131341720384523</v>
      </c>
      <c r="AE162" s="133">
        <f>Z162-T162</f>
        <v>53250</v>
      </c>
      <c r="AF162" s="131">
        <f>AE162/T162</f>
        <v>0.22131341720384523</v>
      </c>
      <c r="AG162" s="133">
        <f>AA162-T162</f>
        <v>20805</v>
      </c>
      <c r="AH162" s="131">
        <f>AG162/T162</f>
        <v>8.6468087228657287E-2</v>
      </c>
      <c r="AI162" s="130">
        <v>316207</v>
      </c>
      <c r="AJ162" s="130">
        <v>283763</v>
      </c>
      <c r="AK162" s="130">
        <f>AI162-AA162</f>
        <v>54793</v>
      </c>
      <c r="AL162" s="134">
        <f>AK162/AA162</f>
        <v>0.20960239313885254</v>
      </c>
      <c r="AM162" s="130">
        <f>AJ162-AA162</f>
        <v>22349</v>
      </c>
      <c r="AN162" s="134">
        <f>AM162/AA162</f>
        <v>8.5492743311375824E-2</v>
      </c>
      <c r="AO162" s="108">
        <v>290800</v>
      </c>
      <c r="AP162" s="108">
        <f>AO162-AA162</f>
        <v>29386</v>
      </c>
      <c r="AQ162" s="131">
        <f>AP162/AA162</f>
        <v>0.11241173005271332</v>
      </c>
      <c r="AR162" s="130">
        <v>332211</v>
      </c>
      <c r="AS162" s="132">
        <f>AR162-AA162</f>
        <v>70797</v>
      </c>
      <c r="AT162" s="131">
        <f>AS162/AA162</f>
        <v>0.27082329179003423</v>
      </c>
      <c r="AU162" s="108">
        <v>368099</v>
      </c>
      <c r="AV162" s="108">
        <f>AY162</f>
        <v>308624</v>
      </c>
      <c r="AW162" s="108">
        <f>AV162-AO162</f>
        <v>17824</v>
      </c>
      <c r="AX162" s="131">
        <f>AW162/AO162</f>
        <v>6.1292984869325995E-2</v>
      </c>
      <c r="AY162" s="108">
        <v>308624</v>
      </c>
      <c r="AZ162" s="108">
        <f>AY162-AO162</f>
        <v>17824</v>
      </c>
      <c r="BA162" s="131">
        <f>AZ162/AO162</f>
        <v>6.1292984869325995E-2</v>
      </c>
      <c r="BB162" s="112">
        <f>+AV162-AY162</f>
        <v>0</v>
      </c>
      <c r="BC162" s="108">
        <v>330201</v>
      </c>
      <c r="BD162" s="108">
        <f>BC162-AY162</f>
        <v>21577</v>
      </c>
      <c r="BE162" s="134">
        <f>BD162/AY162</f>
        <v>6.9913551765254808E-2</v>
      </c>
      <c r="BF162" s="108">
        <v>301808</v>
      </c>
      <c r="BG162" s="108">
        <v>329791</v>
      </c>
      <c r="BH162" s="108">
        <v>327452</v>
      </c>
      <c r="BI162" s="108">
        <v>391550</v>
      </c>
      <c r="BJ162" s="108">
        <v>346956</v>
      </c>
      <c r="BK162" s="108">
        <v>346956</v>
      </c>
      <c r="BL162" s="108">
        <v>347912</v>
      </c>
      <c r="BM162" s="108">
        <f>335057.96+5174.37</f>
        <v>340232.33</v>
      </c>
      <c r="BN162" s="108">
        <v>338540</v>
      </c>
      <c r="BO162" s="108">
        <v>35600</v>
      </c>
      <c r="BP162" s="108">
        <f>BN162-BK162</f>
        <v>-8416</v>
      </c>
      <c r="BQ162" s="134">
        <f>BP162/BK162</f>
        <v>-2.4256678080217666E-2</v>
      </c>
      <c r="BR162" s="111">
        <f>BO162-BN162</f>
        <v>-302940</v>
      </c>
      <c r="BS162" s="108">
        <f>315663.22+12886.74</f>
        <v>328549.95999999996</v>
      </c>
      <c r="BT162" s="108">
        <v>355563</v>
      </c>
      <c r="BU162" s="108">
        <f>351584.86+3500</f>
        <v>355084.86</v>
      </c>
      <c r="BV162" s="108">
        <v>353205</v>
      </c>
      <c r="BW162" s="108">
        <f>363849+14251-14251</f>
        <v>363849</v>
      </c>
      <c r="BX162" s="108">
        <f>350074.06+792.83</f>
        <v>350866.89</v>
      </c>
      <c r="BY162" s="108">
        <f>BW162</f>
        <v>363849</v>
      </c>
      <c r="BZ162" s="108">
        <f>374266.66+9141.65</f>
        <v>383408.31</v>
      </c>
      <c r="CA162" s="108">
        <v>371773.12</v>
      </c>
      <c r="CB162" s="108">
        <v>378322.02</v>
      </c>
      <c r="CC162" s="108">
        <f>378322.02+3387.84</f>
        <v>381709.86000000004</v>
      </c>
      <c r="CD162" s="108">
        <f>350539.03+13398.83</f>
        <v>363937.86000000004</v>
      </c>
      <c r="CE162" s="108">
        <f>CC162</f>
        <v>381709.86000000004</v>
      </c>
      <c r="CF162" s="108">
        <v>400453.76</v>
      </c>
    </row>
    <row r="163" spans="1:84" x14ac:dyDescent="0.4">
      <c r="A163" s="124"/>
      <c r="B163" s="124"/>
      <c r="C163" s="110"/>
      <c r="D163" s="106"/>
      <c r="E163" s="106"/>
      <c r="F163" s="128"/>
      <c r="G163" s="112"/>
      <c r="H163" s="112"/>
      <c r="I163" s="140"/>
      <c r="J163" s="140"/>
      <c r="K163" s="140"/>
      <c r="L163" s="140"/>
      <c r="M163" s="140"/>
      <c r="N163" s="129"/>
      <c r="R163" s="164"/>
      <c r="S163" s="164"/>
      <c r="T163" s="132"/>
      <c r="U163" s="132"/>
      <c r="V163" s="132"/>
      <c r="W163" s="132"/>
      <c r="X163" s="132"/>
      <c r="Y163" s="130"/>
      <c r="Z163" s="130"/>
      <c r="AA163" s="130"/>
      <c r="AB163" s="132"/>
      <c r="AC163" s="132"/>
      <c r="AU163" s="108"/>
      <c r="AV163" s="108"/>
      <c r="AW163" s="108"/>
      <c r="AX163" s="108"/>
      <c r="AY163" s="108"/>
      <c r="BC163" s="108"/>
      <c r="BF163" s="108"/>
    </row>
    <row r="164" spans="1:84" x14ac:dyDescent="0.4">
      <c r="A164" s="124" t="s">
        <v>134</v>
      </c>
      <c r="B164" s="124"/>
      <c r="C164" s="142" t="s">
        <v>387</v>
      </c>
      <c r="D164" s="132">
        <f>SUM(D161:D162)</f>
        <v>136774</v>
      </c>
      <c r="E164" s="132">
        <f>SUM(E161:E162)</f>
        <v>148584</v>
      </c>
      <c r="F164" s="132">
        <f>SUM(F161:F162)</f>
        <v>158612</v>
      </c>
      <c r="G164" s="132">
        <f>SUM(G161:G162)</f>
        <v>170785</v>
      </c>
      <c r="H164" s="132">
        <f>SUM(H161:H162)</f>
        <v>181849</v>
      </c>
      <c r="I164" s="132" t="e">
        <f>#REF!-G164</f>
        <v>#REF!</v>
      </c>
      <c r="J164" s="132">
        <f>SUM(J162:J162)</f>
        <v>197527</v>
      </c>
      <c r="K164" s="132">
        <f>SUM(K162:K162)</f>
        <v>203487</v>
      </c>
      <c r="L164" s="132">
        <f>L162</f>
        <v>192329</v>
      </c>
      <c r="M164" s="132">
        <f>M162</f>
        <v>188122</v>
      </c>
      <c r="N164" s="130">
        <f>M164-L164</f>
        <v>-4207</v>
      </c>
      <c r="O164" s="131">
        <f>N164/L164</f>
        <v>-2.1873976363418934E-2</v>
      </c>
      <c r="Q164" s="132">
        <f t="shared" ref="Q164:AJ164" si="175">Q162</f>
        <v>189420.75</v>
      </c>
      <c r="R164" s="164">
        <f t="shared" si="175"/>
        <v>197437.83</v>
      </c>
      <c r="S164" s="164">
        <f t="shared" si="175"/>
        <v>243822</v>
      </c>
      <c r="T164" s="132">
        <f t="shared" si="175"/>
        <v>240609</v>
      </c>
      <c r="U164" s="132">
        <f t="shared" si="175"/>
        <v>46384.170000000013</v>
      </c>
      <c r="V164" s="132">
        <f t="shared" si="175"/>
        <v>0.24487375327148694</v>
      </c>
      <c r="W164" s="132">
        <f t="shared" si="175"/>
        <v>0</v>
      </c>
      <c r="X164" s="132">
        <f t="shared" si="175"/>
        <v>0</v>
      </c>
      <c r="Y164" s="130">
        <f t="shared" si="175"/>
        <v>293859</v>
      </c>
      <c r="Z164" s="130">
        <f t="shared" si="175"/>
        <v>293859</v>
      </c>
      <c r="AA164" s="130">
        <f t="shared" si="175"/>
        <v>261414</v>
      </c>
      <c r="AB164" s="130">
        <f t="shared" si="175"/>
        <v>53250</v>
      </c>
      <c r="AC164" s="130">
        <f t="shared" si="175"/>
        <v>-3213</v>
      </c>
      <c r="AD164" s="130">
        <f t="shared" si="175"/>
        <v>0.22131341720384523</v>
      </c>
      <c r="AE164" s="130">
        <f t="shared" si="175"/>
        <v>53250</v>
      </c>
      <c r="AF164" s="130">
        <f t="shared" si="175"/>
        <v>0.22131341720384523</v>
      </c>
      <c r="AG164" s="130">
        <f t="shared" si="175"/>
        <v>20805</v>
      </c>
      <c r="AH164" s="130">
        <f t="shared" si="175"/>
        <v>8.6468087228657287E-2</v>
      </c>
      <c r="AI164" s="130">
        <f t="shared" si="175"/>
        <v>316207</v>
      </c>
      <c r="AJ164" s="130">
        <f t="shared" si="175"/>
        <v>283763</v>
      </c>
      <c r="AK164" s="130">
        <f>AI164-AA164</f>
        <v>54793</v>
      </c>
      <c r="AL164" s="134">
        <f>AK164/AA164</f>
        <v>0.20960239313885254</v>
      </c>
      <c r="AM164" s="130">
        <f>AJ164-AA164</f>
        <v>22349</v>
      </c>
      <c r="AN164" s="134">
        <f>AM164/AA164</f>
        <v>8.5492743311375824E-2</v>
      </c>
      <c r="AO164" s="130">
        <f>AO162</f>
        <v>290800</v>
      </c>
      <c r="AP164" s="108">
        <f>AO164-AA164</f>
        <v>29386</v>
      </c>
      <c r="AQ164" s="131">
        <f>AP164/AA164</f>
        <v>0.11241173005271332</v>
      </c>
      <c r="AR164" s="130">
        <f>AR162</f>
        <v>332211</v>
      </c>
      <c r="AS164" s="132">
        <f>AR164-AA164</f>
        <v>70797</v>
      </c>
      <c r="AT164" s="131">
        <f>AS164/AA164</f>
        <v>0.27082329179003423</v>
      </c>
      <c r="AU164" s="130">
        <f>AU162</f>
        <v>368099</v>
      </c>
      <c r="AV164" s="108">
        <f>AY164</f>
        <v>308624</v>
      </c>
      <c r="AW164" s="108">
        <f>AV164-AO164</f>
        <v>17824</v>
      </c>
      <c r="AX164" s="131">
        <f>AW164/AO164</f>
        <v>6.1292984869325995E-2</v>
      </c>
      <c r="AY164" s="130">
        <f>AY162</f>
        <v>308624</v>
      </c>
      <c r="AZ164" s="108">
        <f>AY164-AO164</f>
        <v>17824</v>
      </c>
      <c r="BA164" s="131">
        <f>AZ164/AO164</f>
        <v>6.1292984869325995E-2</v>
      </c>
      <c r="BB164" s="112">
        <f>+AV164-AY164</f>
        <v>0</v>
      </c>
      <c r="BC164" s="108">
        <f>BC162</f>
        <v>330201</v>
      </c>
      <c r="BD164" s="108">
        <f>BC164-AY164</f>
        <v>21577</v>
      </c>
      <c r="BE164" s="134">
        <f>BD164/AY164</f>
        <v>6.9913551765254808E-2</v>
      </c>
      <c r="BF164" s="108">
        <f t="shared" ref="BF164:BO164" si="176">BF162</f>
        <v>301808</v>
      </c>
      <c r="BG164" s="108">
        <f t="shared" si="176"/>
        <v>329791</v>
      </c>
      <c r="BH164" s="108">
        <f t="shared" si="176"/>
        <v>327452</v>
      </c>
      <c r="BI164" s="108">
        <f t="shared" si="176"/>
        <v>391550</v>
      </c>
      <c r="BJ164" s="108">
        <f t="shared" si="176"/>
        <v>346956</v>
      </c>
      <c r="BK164" s="108">
        <f t="shared" si="176"/>
        <v>346956</v>
      </c>
      <c r="BL164" s="108">
        <f t="shared" si="176"/>
        <v>347912</v>
      </c>
      <c r="BM164" s="108">
        <f t="shared" si="176"/>
        <v>340232.33</v>
      </c>
      <c r="BN164" s="108">
        <f t="shared" si="176"/>
        <v>338540</v>
      </c>
      <c r="BO164" s="108">
        <f t="shared" si="176"/>
        <v>35600</v>
      </c>
      <c r="BP164" s="108">
        <f>BN164-BK164</f>
        <v>-8416</v>
      </c>
      <c r="BQ164" s="134">
        <f>BP164/BK164</f>
        <v>-2.4256678080217666E-2</v>
      </c>
      <c r="BS164" s="108">
        <f t="shared" ref="BS164:CF164" si="177">BS162</f>
        <v>328549.95999999996</v>
      </c>
      <c r="BT164" s="108">
        <f t="shared" si="177"/>
        <v>355563</v>
      </c>
      <c r="BU164" s="108">
        <f t="shared" si="177"/>
        <v>355084.86</v>
      </c>
      <c r="BV164" s="108">
        <f t="shared" si="177"/>
        <v>353205</v>
      </c>
      <c r="BW164" s="108">
        <f t="shared" si="177"/>
        <v>363849</v>
      </c>
      <c r="BX164" s="108">
        <f t="shared" si="177"/>
        <v>350866.89</v>
      </c>
      <c r="BY164" s="108">
        <f t="shared" si="177"/>
        <v>363849</v>
      </c>
      <c r="BZ164" s="108">
        <f t="shared" si="177"/>
        <v>383408.31</v>
      </c>
      <c r="CA164" s="108">
        <f t="shared" si="177"/>
        <v>371773.12</v>
      </c>
      <c r="CB164" s="108">
        <f t="shared" si="177"/>
        <v>378322.02</v>
      </c>
      <c r="CC164" s="108">
        <f t="shared" si="177"/>
        <v>381709.86000000004</v>
      </c>
      <c r="CD164" s="108">
        <f t="shared" si="177"/>
        <v>363937.86000000004</v>
      </c>
      <c r="CE164" s="108">
        <f t="shared" si="177"/>
        <v>381709.86000000004</v>
      </c>
      <c r="CF164" s="108">
        <f t="shared" si="177"/>
        <v>400453.76</v>
      </c>
    </row>
    <row r="165" spans="1:84" x14ac:dyDescent="0.4">
      <c r="A165" s="124" t="s">
        <v>134</v>
      </c>
      <c r="B165" s="124"/>
      <c r="C165" s="142"/>
      <c r="D165" s="106"/>
      <c r="E165" s="106"/>
      <c r="F165" s="128"/>
      <c r="G165" s="112"/>
      <c r="H165" s="112"/>
      <c r="I165" s="140"/>
      <c r="N165" s="129"/>
      <c r="R165" s="164"/>
      <c r="S165" s="164"/>
      <c r="T165" s="132"/>
      <c r="U165" s="132"/>
      <c r="V165" s="132"/>
      <c r="W165" s="132"/>
      <c r="X165" s="132"/>
      <c r="Y165" s="130"/>
      <c r="Z165" s="130"/>
      <c r="AA165" s="130"/>
      <c r="AB165" s="132"/>
      <c r="AC165" s="132"/>
      <c r="AU165" s="108"/>
      <c r="AV165" s="108"/>
      <c r="AW165" s="108"/>
      <c r="AX165" s="108"/>
      <c r="AY165" s="108"/>
      <c r="BC165" s="108"/>
      <c r="BF165" s="108"/>
    </row>
    <row r="166" spans="1:84" x14ac:dyDescent="0.4">
      <c r="A166" s="124" t="s">
        <v>134</v>
      </c>
      <c r="B166" s="124"/>
      <c r="C166" s="110"/>
      <c r="D166" s="106"/>
      <c r="E166" s="106"/>
      <c r="F166" s="128"/>
      <c r="G166" s="112"/>
      <c r="H166" s="112"/>
      <c r="I166" s="140"/>
      <c r="N166" s="129"/>
      <c r="T166" s="132"/>
      <c r="U166" s="132"/>
      <c r="V166" s="132"/>
      <c r="W166" s="132"/>
      <c r="X166" s="132"/>
      <c r="Y166" s="132"/>
      <c r="Z166" s="132"/>
      <c r="AA166" s="132"/>
      <c r="AB166" s="132"/>
      <c r="AC166" s="132">
        <f>T166-S166</f>
        <v>0</v>
      </c>
      <c r="AU166" s="108"/>
      <c r="AV166" s="108"/>
      <c r="AW166" s="108"/>
      <c r="AX166" s="108"/>
      <c r="AY166" s="108"/>
      <c r="BC166" s="108"/>
      <c r="BF166" s="108"/>
    </row>
    <row r="167" spans="1:84" ht="13.5" customHeight="1" x14ac:dyDescent="0.4">
      <c r="A167" s="226"/>
      <c r="B167" s="226"/>
      <c r="C167" s="227" t="s">
        <v>388</v>
      </c>
      <c r="D167" s="132" t="e">
        <f ca="1">SUM(#REF!+#REF!+D164+D159+D149+D123+D96+D60+D34+D13+D105-D27)</f>
        <v>#REF!</v>
      </c>
      <c r="E167" s="132" t="e">
        <f ca="1">SUM(#REF!+#REF!+E164+E159+E149+E123+E96+E60+E34+E13+E105)</f>
        <v>#REF!</v>
      </c>
      <c r="F167" s="132" t="e">
        <f ca="1">SUM(#REF!+F164+F159+F149+F123+F96+F60+F34+F13+F105-F27)</f>
        <v>#REF!</v>
      </c>
      <c r="G167" s="132" t="e">
        <f ca="1">SUM(#REF!+G164+G159+G149+G123+G96+G60+G34+G13+G105-G27)</f>
        <v>#REF!</v>
      </c>
      <c r="H167" s="132" t="e">
        <f ca="1">SUM(#REF!+H164+H159+H149+H123+H96+H60+H34+H13+H105-H27)</f>
        <v>#REF!</v>
      </c>
      <c r="I167" s="132" t="e">
        <f ca="1">SUM(#REF!+I164+I159+I149+I123+I96+I60+I34+I13+I105-I27)</f>
        <v>#REF!</v>
      </c>
      <c r="J167" s="132" t="e">
        <f ca="1">SUM(#REF!+J164+J159+J149+J123+J5+J96+J60+J34+J13+J105-J27-J28)</f>
        <v>#REF!</v>
      </c>
      <c r="K167" s="132" t="e">
        <f ca="1">SUM(#REF!+K164+K159+K149+K123+K96+K60+K34+K13+K105)</f>
        <v>#REF!</v>
      </c>
      <c r="L167" s="132" t="e">
        <f ca="1">SUM(#REF!+L164+L159+L149+L123+L96+L65+L60+L34+L13+L105)-50000</f>
        <v>#REF!</v>
      </c>
      <c r="M167" s="132" t="e">
        <f ca="1">SUM(#REF!+M164+M159+M149+M123+M96+M65+M60+M34+M13+M105)</f>
        <v>#REF!</v>
      </c>
      <c r="N167" s="130" t="e">
        <f ca="1">M167-L167</f>
        <v>#REF!</v>
      </c>
      <c r="O167" s="131" t="e">
        <f ca="1">N167/L167</f>
        <v>#REF!</v>
      </c>
      <c r="Q167" s="132" t="e">
        <f ca="1">SUM(#REF!+Q164+Q159+Q149+Q123+Q96+Q65+Q60+Q34+Q13+Q105)</f>
        <v>#REF!</v>
      </c>
      <c r="R167" s="132" t="e">
        <f ca="1">SUM(#REF!+R164+R159+R149+R123+R96+R65+R60+R34+R13+R105)</f>
        <v>#REF!</v>
      </c>
      <c r="S167" s="132" t="e">
        <f ca="1">SUM(#REF!+S164+S159+S149+S123+S96+S65+S60+S34+S13+S105)</f>
        <v>#REF!</v>
      </c>
      <c r="T167" s="132" t="e">
        <f ca="1">SUM(#REF!+T164+T159+T149+T123+T96+T65+T60+T34+T13+T105)</f>
        <v>#REF!</v>
      </c>
      <c r="U167" s="132" t="e">
        <f ca="1">SUM(#REF!+U164+U159+U149+U123+U96+U65+U60+U34+U13+U105)</f>
        <v>#REF!</v>
      </c>
      <c r="V167" s="132" t="e">
        <f ca="1">SUM(#REF!+V164+V159+V149+V123+V96+V65+V60+V34+V13+V105)</f>
        <v>#REF!</v>
      </c>
      <c r="W167" s="132" t="e">
        <f ca="1">SUM(#REF!+W164+W159+W149+W123+W96+W65+W60+W34+W13+W105)</f>
        <v>#REF!</v>
      </c>
      <c r="X167" s="132" t="e">
        <f ca="1">SUM(#REF!+X164+X159+X149+X123+X96+X65+X60+X34+X13+X105)</f>
        <v>#REF!</v>
      </c>
      <c r="Y167" s="132" t="e">
        <f ca="1">SUM(#REF!+Y164+Y159+Y149+Y123+Y96+Y65+Y60+Y34+Y13+Y105)</f>
        <v>#REF!</v>
      </c>
      <c r="Z167" s="132" t="e">
        <f ca="1">SUM(#REF!+Z164+Z159+Z149+Z123+Z96+Z65+Z60+Z34+Z13+Z105)</f>
        <v>#REF!</v>
      </c>
      <c r="AA167" s="132" t="e">
        <f ca="1">SUM(#REF!+AA164+AA159+AA149+AA123+AA96+AA65+AA60+AA34+AA13+AA105)</f>
        <v>#REF!</v>
      </c>
      <c r="AB167" s="132" t="e">
        <f ca="1">SUM(#REF!+AB164+AB159+AB149+AB123+AB96+AB65+AB60+AB34+AB13+AB105)</f>
        <v>#REF!</v>
      </c>
      <c r="AC167" s="132" t="e">
        <f ca="1">SUM(#REF!+AC164+AC159+AC149+AC123+AC96+AC65+AC60+AC34+AC13+AC105)</f>
        <v>#REF!</v>
      </c>
      <c r="AD167" s="132" t="e">
        <f ca="1">SUM(#REF!+AD164+AD159+AD149+AD123+AD96+AD65+AD60+AD34+AD13+AD105)</f>
        <v>#REF!</v>
      </c>
      <c r="AE167" s="132" t="e">
        <f ca="1">SUM(#REF!+AE164+AE159+AE149+AE123+AE96+AE65+AE60+AE34+AE13+AE105)</f>
        <v>#REF!</v>
      </c>
      <c r="AF167" s="132" t="e">
        <f ca="1">SUM(#REF!+AF164+AF159+AF149+AF123+AF96+AF65+AF60+AF34+AF13+AF105)</f>
        <v>#REF!</v>
      </c>
      <c r="AG167" s="132" t="e">
        <f ca="1">SUM(#REF!+AG164+AG159+AG149+AG123+AG96+AG65+AG60+AG34+AG13+AG105)</f>
        <v>#REF!</v>
      </c>
      <c r="AH167" s="132" t="e">
        <f ca="1">SUM(#REF!+AH164+AH159+AH149+AH123+AH96+AH65+AH60+AH34+AH13+AH105)</f>
        <v>#REF!</v>
      </c>
      <c r="AI167" s="132" t="e">
        <f ca="1">SUM(#REF!+AI164+AI159+AI149+AI123+AI96+AI65+AI60+AI34+AI13+AI105)</f>
        <v>#REF!</v>
      </c>
      <c r="AJ167" s="132" t="e">
        <f ca="1">SUM(#REF!+AJ164+AJ159+AJ149+AJ123+AJ96+AJ65+AJ60+AJ34+AJ13+AJ105)</f>
        <v>#REF!</v>
      </c>
      <c r="AK167" s="130" t="e">
        <f ca="1">AI167-AA167</f>
        <v>#REF!</v>
      </c>
      <c r="AL167" s="134" t="e">
        <f ca="1">AK167/AA167</f>
        <v>#REF!</v>
      </c>
      <c r="AM167" s="130" t="e">
        <f ca="1">AJ167-AA167</f>
        <v>#REF!</v>
      </c>
      <c r="AN167" s="134" t="e">
        <f ca="1">AM167/AA167</f>
        <v>#REF!</v>
      </c>
      <c r="AO167" s="132" t="e">
        <f ca="1">SUM(#REF!+AO164+AO159+AO149+AO123+AO96+AO65+AO60+AO34+AO13+AO105)</f>
        <v>#REF!</v>
      </c>
      <c r="AP167" s="132" t="e">
        <f ca="1">SUM(#REF!+AP164+AP159+AP149+AP123+AP96+AP65+AP60+AP34+AP13+AP105)</f>
        <v>#REF!</v>
      </c>
      <c r="AQ167" s="131" t="e">
        <f ca="1">AP167/AA167</f>
        <v>#REF!</v>
      </c>
      <c r="AR167" s="132" t="e">
        <f ca="1">SUM(#REF!+AR164+AR159+AR149+AR123+AR96+AR65+AR60+AR34+AR13+AR105)</f>
        <v>#REF!</v>
      </c>
      <c r="AS167" s="132" t="e">
        <f ca="1">AR167-AA167</f>
        <v>#REF!</v>
      </c>
      <c r="AT167" s="131" t="e">
        <f ca="1">AS167/AA167</f>
        <v>#REF!</v>
      </c>
      <c r="AU167" s="132" t="e">
        <f ca="1">SUM(#REF!+AU164+AU159+AU149+AU123+AU96+AU65+AU60+AU34+AU13+AU105)</f>
        <v>#REF!</v>
      </c>
      <c r="AV167" s="132" t="e">
        <f>SUM(#REF!+AV164+AV159+AV149+AV123+AV96+AV65+AV60+AV34+AV13+AV105)</f>
        <v>#REF!</v>
      </c>
      <c r="AW167" s="108" t="e">
        <f ca="1">AV167-AO167</f>
        <v>#REF!</v>
      </c>
      <c r="AX167" s="131" t="e">
        <f ca="1">AW167/AO167</f>
        <v>#REF!</v>
      </c>
      <c r="AY167" s="132">
        <f>SUM(AY135+AY130+AY159+AY149+AY123+AY96+AY65+AY60+AY34+AY13+AY105+AY164)</f>
        <v>24895376</v>
      </c>
      <c r="AZ167" s="108" t="e">
        <f ca="1">AY167-AO167</f>
        <v>#REF!</v>
      </c>
      <c r="BA167" s="131" t="e">
        <f ca="1">AZ167/AO167</f>
        <v>#REF!</v>
      </c>
      <c r="BB167" s="112" t="e">
        <f>+AV167-AY167</f>
        <v>#REF!</v>
      </c>
      <c r="BC167" s="108" t="e">
        <f ca="1">SUM(#REF!+BC164+BC159+BC149+BC123+BC96+BC65+BC60+BC34+BC13+BC105)</f>
        <v>#REF!</v>
      </c>
      <c r="BD167" s="108" t="e">
        <f ca="1">BC167-AY167</f>
        <v>#REF!</v>
      </c>
      <c r="BE167" s="134" t="e">
        <f ca="1">BD167/AY167</f>
        <v>#REF!</v>
      </c>
      <c r="BF167" s="132">
        <f>SUM(BF135+BF130+BF159+BF149+BF123+BF96+BF65+BF60+BF34+BF13+BF105+BF164)</f>
        <v>25314664</v>
      </c>
      <c r="BG167" s="108" t="e">
        <f ca="1">SUM(#REF!+BG164+BG159+BG149+BG123+BG96+BG65+BG60+BG34+BG13+BG105)</f>
        <v>#REF!</v>
      </c>
      <c r="BH167" s="132">
        <f>SUM(BH135+BH130+BH159+BH149+BH123+BH96+BH65+BH60+BH34+BH13+BH105+BH164)</f>
        <v>25703840</v>
      </c>
      <c r="BI167" s="108" t="e">
        <f ca="1">SUM(#REF!+BI164+BI159+BI149+BI123+BI96+BI65+BI60+BI34+BI13+BI105)</f>
        <v>#REF!</v>
      </c>
      <c r="BJ167" s="108" t="e">
        <f ca="1">SUM(#REF!+BJ164+BJ159+BJ149+BJ123+BJ96+BJ65+BJ60+BJ34+BJ13+BJ105)</f>
        <v>#REF!</v>
      </c>
      <c r="BK167" s="108" t="e">
        <f ca="1">SUM(#REF!+BK164+BK159+BK149+BK123+BK96+BK65+BK60+BK34+BK13+BK105)</f>
        <v>#REF!</v>
      </c>
      <c r="BL167" s="108" t="e">
        <f ca="1">SUM(#REF!+BL164+BL159+BL149+BL123+BL96+BL65+BL60+BL34+BL13+BL105)</f>
        <v>#REF!</v>
      </c>
      <c r="BM167" s="132">
        <f>SUM(BM135+BM130+BM159+BM149+BM123+BM96+BM65+BM60+BM34+BM13+BM105+BM164)</f>
        <v>26441412.82</v>
      </c>
      <c r="BN167" s="132">
        <f>SUM(BN135+BN130+BN159+BN149+BN123+BN96+BN65+BN60+BN34+BN13+BN105+BN164)</f>
        <v>27480069</v>
      </c>
      <c r="BO167" s="108" t="e">
        <f>SUM(#REF!+BO164+BO159+BO149+BO123+BO96+BO65+BO60+BO34+BO13+BO105)</f>
        <v>#REF!</v>
      </c>
      <c r="BP167" s="108" t="e">
        <f ca="1">BN167-BK167</f>
        <v>#REF!</v>
      </c>
      <c r="BQ167" s="134" t="e">
        <f ca="1">BP167/BK167</f>
        <v>#REF!</v>
      </c>
      <c r="BS167" s="132">
        <f t="shared" ref="BS167:CF167" si="178">SUM(BS135+BS130+BS159+BS149+BS123+BS96+BS65+BS60+BS34+BS13+BS105+BS164)</f>
        <v>27493670.570000004</v>
      </c>
      <c r="BT167" s="132">
        <f t="shared" si="178"/>
        <v>28177263</v>
      </c>
      <c r="BU167" s="132">
        <f t="shared" si="178"/>
        <v>28273776.34</v>
      </c>
      <c r="BV167" s="132">
        <f t="shared" si="178"/>
        <v>29079384</v>
      </c>
      <c r="BW167" s="132">
        <f t="shared" si="178"/>
        <v>32025895</v>
      </c>
      <c r="BX167" s="132">
        <f t="shared" si="178"/>
        <v>29172530.490000002</v>
      </c>
      <c r="BY167" s="132">
        <f t="shared" si="178"/>
        <v>32113005</v>
      </c>
      <c r="BZ167" s="132">
        <f t="shared" si="178"/>
        <v>32024888.859999996</v>
      </c>
      <c r="CA167" s="132">
        <f t="shared" si="178"/>
        <v>34068191.039999999</v>
      </c>
      <c r="CB167" s="132">
        <f t="shared" si="178"/>
        <v>35526697.870000012</v>
      </c>
      <c r="CC167" s="132">
        <f t="shared" si="178"/>
        <v>36461335.750000007</v>
      </c>
      <c r="CD167" s="132">
        <f t="shared" si="178"/>
        <v>33713603.080000006</v>
      </c>
      <c r="CE167" s="132">
        <f t="shared" si="178"/>
        <v>35855365.700000003</v>
      </c>
      <c r="CF167" s="132">
        <f t="shared" si="178"/>
        <v>36804408.829999998</v>
      </c>
    </row>
    <row r="168" spans="1:84" x14ac:dyDescent="0.4">
      <c r="D168" s="106"/>
      <c r="E168" s="106"/>
    </row>
    <row r="169" spans="1:84" x14ac:dyDescent="0.4">
      <c r="A169" s="228"/>
      <c r="B169" s="228"/>
      <c r="C169" s="228"/>
      <c r="D169" s="228"/>
      <c r="E169" s="228"/>
      <c r="F169" s="228"/>
      <c r="AR169" s="141"/>
    </row>
    <row r="170" spans="1:84" s="141" customFormat="1" x14ac:dyDescent="0.4">
      <c r="A170" s="228"/>
      <c r="B170" s="228"/>
      <c r="C170" s="228"/>
      <c r="D170" s="228"/>
      <c r="E170" s="228"/>
      <c r="F170" s="228"/>
      <c r="I170" s="132"/>
      <c r="AR170" s="111"/>
      <c r="BB170" s="143"/>
      <c r="BO170" s="143" t="e">
        <f>BO167</f>
        <v>#REF!</v>
      </c>
      <c r="BP170" s="225"/>
      <c r="BS170" s="108"/>
    </row>
    <row r="171" spans="1:84" x14ac:dyDescent="0.4">
      <c r="A171" s="228"/>
      <c r="B171" s="228"/>
      <c r="C171" s="228"/>
      <c r="D171" s="228"/>
      <c r="E171" s="228"/>
      <c r="F171" s="228"/>
      <c r="J171" s="173"/>
      <c r="K171" s="173"/>
      <c r="L171" s="173"/>
      <c r="M171" s="173"/>
      <c r="N171" s="173"/>
      <c r="AR171" s="229"/>
      <c r="BN171" s="141"/>
      <c r="BO171" s="143"/>
      <c r="BP171" s="225"/>
      <c r="BT171" s="141"/>
      <c r="BU171" s="141"/>
      <c r="BV171" s="141"/>
      <c r="BW171" s="141"/>
      <c r="BX171" s="141"/>
    </row>
    <row r="172" spans="1:84" s="229" customFormat="1" ht="15.35" x14ac:dyDescent="0.5">
      <c r="A172" s="228"/>
      <c r="B172" s="228"/>
      <c r="C172" s="228"/>
      <c r="D172" s="228"/>
      <c r="E172" s="228"/>
      <c r="F172" s="228"/>
      <c r="I172" s="106"/>
      <c r="J172" s="230"/>
      <c r="K172" s="231"/>
      <c r="L172" s="231"/>
      <c r="M172" s="231"/>
      <c r="N172" s="232"/>
      <c r="AR172" s="111"/>
      <c r="BB172" s="112"/>
      <c r="BK172" s="233"/>
      <c r="BL172" s="233"/>
      <c r="BM172" s="233"/>
      <c r="BN172" s="234"/>
      <c r="BO172" s="235"/>
      <c r="BP172" s="236"/>
      <c r="BS172" s="108"/>
      <c r="BT172" s="234"/>
      <c r="BU172" s="234"/>
      <c r="BV172" s="234"/>
      <c r="BW172" s="234"/>
      <c r="BX172" s="234"/>
    </row>
    <row r="173" spans="1:84" x14ac:dyDescent="0.4">
      <c r="A173" s="228"/>
      <c r="B173" s="228"/>
      <c r="C173" s="228"/>
      <c r="D173" s="228"/>
      <c r="E173" s="228"/>
      <c r="F173" s="228"/>
      <c r="J173" s="237"/>
      <c r="K173" s="231"/>
      <c r="L173" s="231"/>
      <c r="M173" s="231"/>
      <c r="N173" s="232"/>
      <c r="BN173" s="141"/>
      <c r="BO173" s="143"/>
      <c r="BP173" s="225"/>
      <c r="BT173" s="141"/>
      <c r="BU173" s="141"/>
      <c r="BV173" s="141"/>
      <c r="BW173" s="141"/>
      <c r="BX173" s="141"/>
    </row>
    <row r="174" spans="1:84" ht="13.7" x14ac:dyDescent="0.4">
      <c r="A174" s="228"/>
      <c r="B174" s="228"/>
      <c r="C174" s="228"/>
      <c r="D174" s="228"/>
      <c r="E174" s="228"/>
      <c r="F174" s="228"/>
      <c r="J174" s="238"/>
      <c r="K174" s="238"/>
      <c r="L174" s="238"/>
      <c r="M174" s="238"/>
      <c r="N174" s="239"/>
      <c r="BO174" s="112"/>
    </row>
    <row r="175" spans="1:84" ht="13.7" x14ac:dyDescent="0.4">
      <c r="A175" s="228"/>
      <c r="B175" s="228"/>
      <c r="C175" s="228"/>
      <c r="D175" s="228"/>
      <c r="E175" s="228"/>
      <c r="F175" s="228"/>
      <c r="J175" s="240"/>
      <c r="K175" s="241"/>
      <c r="L175" s="242"/>
      <c r="M175" s="242"/>
      <c r="N175" s="243"/>
      <c r="BO175" s="112"/>
    </row>
    <row r="176" spans="1:84" ht="13.7" x14ac:dyDescent="0.4">
      <c r="A176" s="228"/>
      <c r="B176" s="228"/>
      <c r="C176" s="228"/>
      <c r="D176" s="228"/>
      <c r="E176" s="228"/>
      <c r="F176" s="228"/>
      <c r="J176" s="240"/>
      <c r="K176" s="241"/>
      <c r="L176" s="242"/>
      <c r="M176" s="242"/>
      <c r="N176" s="243"/>
      <c r="AR176" s="244"/>
    </row>
    <row r="177" spans="1:71" s="244" customFormat="1" ht="13.7" x14ac:dyDescent="0.4">
      <c r="A177" s="228"/>
      <c r="B177" s="228"/>
      <c r="C177" s="228"/>
      <c r="D177" s="228"/>
      <c r="E177" s="228"/>
      <c r="F177" s="228"/>
      <c r="I177" s="193"/>
      <c r="J177" s="245"/>
      <c r="K177" s="241"/>
      <c r="L177" s="246"/>
      <c r="M177" s="246"/>
      <c r="N177" s="243"/>
      <c r="BB177" s="193"/>
      <c r="BS177" s="108"/>
    </row>
    <row r="178" spans="1:71" s="244" customFormat="1" ht="13.7" x14ac:dyDescent="0.4">
      <c r="A178" s="228"/>
      <c r="B178" s="228"/>
      <c r="C178" s="228"/>
      <c r="D178" s="228"/>
      <c r="E178" s="228"/>
      <c r="F178" s="228"/>
      <c r="I178" s="193"/>
      <c r="J178" s="245"/>
      <c r="K178" s="241"/>
      <c r="L178" s="246"/>
      <c r="M178" s="246"/>
      <c r="N178" s="243"/>
      <c r="BB178" s="193"/>
      <c r="BS178" s="108"/>
    </row>
    <row r="179" spans="1:71" s="244" customFormat="1" ht="13.7" x14ac:dyDescent="0.4">
      <c r="A179" s="228"/>
      <c r="B179" s="228"/>
      <c r="C179" s="228"/>
      <c r="D179" s="228"/>
      <c r="E179" s="228"/>
      <c r="F179" s="228"/>
      <c r="I179" s="193"/>
      <c r="J179" s="245"/>
      <c r="K179" s="241"/>
      <c r="L179" s="246"/>
      <c r="M179" s="246"/>
      <c r="N179" s="243"/>
      <c r="BB179" s="193"/>
      <c r="BS179" s="108"/>
    </row>
    <row r="180" spans="1:71" s="244" customFormat="1" ht="13.7" x14ac:dyDescent="0.4">
      <c r="A180" s="228"/>
      <c r="B180" s="228"/>
      <c r="C180" s="228"/>
      <c r="D180" s="228"/>
      <c r="E180" s="228"/>
      <c r="F180" s="228"/>
      <c r="I180" s="193"/>
      <c r="J180" s="247"/>
      <c r="K180" s="241"/>
      <c r="L180" s="242"/>
      <c r="M180" s="242"/>
      <c r="N180" s="243"/>
      <c r="BB180" s="193"/>
      <c r="BS180" s="108"/>
    </row>
    <row r="181" spans="1:71" s="244" customFormat="1" ht="13.7" x14ac:dyDescent="0.4">
      <c r="A181" s="228"/>
      <c r="B181" s="228"/>
      <c r="C181" s="228"/>
      <c r="D181" s="228"/>
      <c r="E181" s="228"/>
      <c r="F181" s="228"/>
      <c r="I181" s="193"/>
      <c r="J181" s="245"/>
      <c r="K181" s="241"/>
      <c r="L181" s="246"/>
      <c r="M181" s="246"/>
      <c r="N181" s="243"/>
      <c r="BB181" s="193"/>
      <c r="BS181" s="108"/>
    </row>
    <row r="182" spans="1:71" s="244" customFormat="1" ht="13.7" x14ac:dyDescent="0.4">
      <c r="A182" s="228"/>
      <c r="B182" s="228"/>
      <c r="C182" s="228"/>
      <c r="D182" s="228"/>
      <c r="E182" s="228"/>
      <c r="F182" s="228"/>
      <c r="I182" s="193"/>
      <c r="J182" s="245"/>
      <c r="K182" s="241"/>
      <c r="L182" s="246"/>
      <c r="M182" s="246"/>
      <c r="N182" s="243"/>
      <c r="BB182" s="193"/>
      <c r="BS182" s="108"/>
    </row>
    <row r="183" spans="1:71" s="244" customFormat="1" ht="13.7" x14ac:dyDescent="0.4">
      <c r="A183" s="228"/>
      <c r="B183" s="228"/>
      <c r="C183" s="228"/>
      <c r="D183" s="228"/>
      <c r="E183" s="228"/>
      <c r="F183" s="228"/>
      <c r="I183" s="193"/>
      <c r="J183" s="245"/>
      <c r="K183" s="241"/>
      <c r="L183" s="246"/>
      <c r="M183" s="246"/>
      <c r="N183" s="243"/>
      <c r="BB183" s="193"/>
      <c r="BS183" s="108"/>
    </row>
    <row r="184" spans="1:71" s="244" customFormat="1" ht="13.7" x14ac:dyDescent="0.4">
      <c r="A184" s="228"/>
      <c r="B184" s="228"/>
      <c r="C184" s="228"/>
      <c r="D184" s="228"/>
      <c r="E184" s="228"/>
      <c r="F184" s="228"/>
      <c r="I184" s="193"/>
      <c r="J184" s="245"/>
      <c r="K184" s="241"/>
      <c r="L184" s="246"/>
      <c r="M184" s="246"/>
      <c r="N184" s="243"/>
      <c r="BB184" s="193"/>
      <c r="BS184" s="108"/>
    </row>
    <row r="185" spans="1:71" s="244" customFormat="1" ht="13.7" x14ac:dyDescent="0.4">
      <c r="A185" s="228"/>
      <c r="B185" s="228"/>
      <c r="C185" s="228"/>
      <c r="D185" s="228"/>
      <c r="E185" s="228"/>
      <c r="F185" s="228"/>
      <c r="I185" s="193"/>
      <c r="J185" s="245"/>
      <c r="K185" s="241"/>
      <c r="L185" s="246"/>
      <c r="M185" s="246"/>
      <c r="N185" s="243"/>
      <c r="BB185" s="193"/>
      <c r="BS185" s="108"/>
    </row>
    <row r="186" spans="1:71" s="244" customFormat="1" ht="14" thickBot="1" x14ac:dyDescent="0.45">
      <c r="A186" s="113"/>
      <c r="B186" s="113"/>
      <c r="C186" s="225"/>
      <c r="D186" s="248"/>
      <c r="E186" s="248"/>
      <c r="F186" s="8"/>
      <c r="I186" s="193"/>
      <c r="J186" s="245"/>
      <c r="K186" s="249"/>
      <c r="L186" s="246"/>
      <c r="M186" s="250"/>
      <c r="N186" s="251"/>
      <c r="BB186" s="193"/>
      <c r="BS186" s="108"/>
    </row>
    <row r="187" spans="1:71" s="244" customFormat="1" x14ac:dyDescent="0.4">
      <c r="A187" s="113"/>
      <c r="B187" s="113"/>
      <c r="C187" s="225"/>
      <c r="D187" s="248"/>
      <c r="E187" s="248"/>
      <c r="F187" s="8"/>
      <c r="I187" s="193"/>
      <c r="BB187" s="193"/>
      <c r="BS187" s="108"/>
    </row>
    <row r="188" spans="1:71" s="244" customFormat="1" x14ac:dyDescent="0.4">
      <c r="A188" s="113"/>
      <c r="B188" s="113"/>
      <c r="C188" s="225"/>
      <c r="D188" s="248"/>
      <c r="E188" s="248"/>
      <c r="F188" s="8"/>
      <c r="I188" s="193"/>
      <c r="BB188" s="193"/>
      <c r="BS188" s="108"/>
    </row>
    <row r="189" spans="1:71" s="244" customFormat="1" x14ac:dyDescent="0.4">
      <c r="A189" s="113"/>
      <c r="B189" s="113"/>
      <c r="C189" s="225"/>
      <c r="D189" s="248"/>
      <c r="E189" s="248"/>
      <c r="F189" s="8"/>
      <c r="I189" s="193"/>
      <c r="AR189" s="141"/>
      <c r="BB189" s="193"/>
      <c r="BS189" s="108"/>
    </row>
    <row r="190" spans="1:71" s="141" customFormat="1" x14ac:dyDescent="0.4">
      <c r="A190" s="113"/>
      <c r="B190" s="113"/>
      <c r="C190" s="225"/>
      <c r="D190" s="248"/>
      <c r="E190" s="248"/>
      <c r="F190" s="8"/>
      <c r="I190" s="132"/>
      <c r="BB190" s="143"/>
      <c r="BS190" s="108"/>
    </row>
    <row r="191" spans="1:71" s="141" customFormat="1" x14ac:dyDescent="0.4">
      <c r="A191" s="113"/>
      <c r="B191" s="113"/>
      <c r="C191" s="225"/>
      <c r="D191" s="248"/>
      <c r="E191" s="248"/>
      <c r="F191" s="8"/>
      <c r="I191" s="132"/>
      <c r="BB191" s="143"/>
      <c r="BS191" s="108"/>
    </row>
    <row r="192" spans="1:71" s="141" customFormat="1" x14ac:dyDescent="0.4">
      <c r="A192" s="113"/>
      <c r="B192" s="113"/>
      <c r="C192" s="225"/>
      <c r="D192" s="248"/>
      <c r="E192" s="248"/>
      <c r="F192" s="8"/>
      <c r="I192" s="132"/>
      <c r="BB192" s="143"/>
      <c r="BS192" s="108"/>
    </row>
    <row r="193" spans="1:71" s="141" customFormat="1" x14ac:dyDescent="0.4">
      <c r="A193" s="113"/>
      <c r="B193" s="113"/>
      <c r="C193" s="225"/>
      <c r="D193" s="248"/>
      <c r="E193" s="248"/>
      <c r="F193" s="8"/>
      <c r="I193" s="132"/>
      <c r="BB193" s="143"/>
      <c r="BS193" s="108"/>
    </row>
    <row r="194" spans="1:71" s="141" customFormat="1" x14ac:dyDescent="0.4">
      <c r="A194" s="113"/>
      <c r="B194" s="113"/>
      <c r="C194" s="225"/>
      <c r="D194" s="248"/>
      <c r="E194" s="248"/>
      <c r="F194" s="8"/>
      <c r="I194" s="132"/>
      <c r="BB194" s="143"/>
      <c r="BS194" s="108"/>
    </row>
    <row r="195" spans="1:71" s="141" customFormat="1" x14ac:dyDescent="0.4">
      <c r="A195" s="113"/>
      <c r="B195" s="113"/>
      <c r="C195" s="225"/>
      <c r="D195" s="248"/>
      <c r="E195" s="248"/>
      <c r="F195" s="8"/>
      <c r="I195" s="132"/>
      <c r="BB195" s="143"/>
      <c r="BS195" s="108"/>
    </row>
    <row r="196" spans="1:71" s="141" customFormat="1" x14ac:dyDescent="0.4">
      <c r="A196" s="139"/>
      <c r="B196" s="139"/>
      <c r="C196" s="181"/>
      <c r="D196" s="104"/>
      <c r="E196" s="104"/>
      <c r="F196" s="8"/>
      <c r="I196" s="132"/>
      <c r="BB196" s="143"/>
      <c r="BS196" s="108"/>
    </row>
    <row r="197" spans="1:71" s="141" customFormat="1" x14ac:dyDescent="0.4">
      <c r="A197" s="139"/>
      <c r="B197" s="139"/>
      <c r="C197" s="181"/>
      <c r="D197" s="104"/>
      <c r="E197" s="104"/>
      <c r="F197" s="8"/>
      <c r="I197" s="132"/>
      <c r="BB197" s="143"/>
      <c r="BS197" s="108"/>
    </row>
    <row r="198" spans="1:71" s="141" customFormat="1" x14ac:dyDescent="0.4">
      <c r="A198" s="139"/>
      <c r="B198" s="139"/>
      <c r="C198" s="181"/>
      <c r="D198" s="104"/>
      <c r="E198" s="104"/>
      <c r="F198" s="8"/>
      <c r="I198" s="132"/>
      <c r="BB198" s="143"/>
      <c r="BS198" s="108"/>
    </row>
    <row r="199" spans="1:71" s="141" customFormat="1" x14ac:dyDescent="0.4">
      <c r="A199" s="139"/>
      <c r="B199" s="139"/>
      <c r="C199" s="181"/>
      <c r="D199" s="104"/>
      <c r="E199" s="104"/>
      <c r="F199" s="8"/>
      <c r="I199" s="132"/>
      <c r="BB199" s="143"/>
      <c r="BS199" s="108"/>
    </row>
    <row r="200" spans="1:71" s="141" customFormat="1" x14ac:dyDescent="0.4">
      <c r="A200" s="139"/>
      <c r="B200" s="139"/>
      <c r="C200" s="181"/>
      <c r="D200" s="104"/>
      <c r="E200" s="104"/>
      <c r="F200" s="8"/>
      <c r="I200" s="132"/>
      <c r="AR200" s="111"/>
      <c r="BB200" s="143"/>
      <c r="BS200" s="108"/>
    </row>
  </sheetData>
  <dataConsolidate/>
  <printOptions horizontalCentered="1" gridLines="1"/>
  <pageMargins left="0.36" right="0.2" top="0.75" bottom="0.75" header="0" footer="0"/>
  <pageSetup scale="86" fitToHeight="4" orientation="landscape" r:id="rId1"/>
  <headerFooter alignWithMargins="0"/>
  <rowBreaks count="1" manualBreakCount="1">
    <brk id="121" min="1" max="82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FY19 Rev Exp 4.25.18 Bond</vt:lpstr>
      <vt:lpstr>FY19 Omnibus Budget</vt:lpstr>
      <vt:lpstr>'FY19 Omnibus Budget'!Print_Area</vt:lpstr>
      <vt:lpstr>'FY19 Rev Exp 4.25.18 Bond'!Print_Area</vt:lpstr>
      <vt:lpstr>'FY19 Omnibus Budget'!Print_Titles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Brochu</dc:creator>
  <cp:lastModifiedBy>Heather Lemieux</cp:lastModifiedBy>
  <cp:lastPrinted>2018-05-01T17:11:14Z</cp:lastPrinted>
  <dcterms:created xsi:type="dcterms:W3CDTF">2018-05-01T17:07:02Z</dcterms:created>
  <dcterms:modified xsi:type="dcterms:W3CDTF">2018-05-04T22:39:29Z</dcterms:modified>
</cp:coreProperties>
</file>